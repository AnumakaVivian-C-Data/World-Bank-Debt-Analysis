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D534A535-6BB4-4341-B8FE-6D1CDFD59950}" xr6:coauthVersionLast="47" xr6:coauthVersionMax="47" xr10:uidLastSave="{00000000-0000-0000-0000-000000000000}"/>
  <bookViews>
    <workbookView xWindow="-110" yWindow="-110" windowWidth="19420" windowHeight="10420" tabRatio="587" activeTab="3" xr2:uid="{CBF477CE-5F1B-4141-9CCC-3F0CEF49C593}"/>
  </bookViews>
  <sheets>
    <sheet name="Raw Data" sheetId="1" r:id="rId1"/>
    <sheet name="Cleaned data" sheetId="5" r:id="rId2"/>
    <sheet name="Pivot Tables" sheetId="11" r:id="rId3"/>
    <sheet name="Dashboard" sheetId="12" r:id="rId4"/>
  </sheets>
  <definedNames>
    <definedName name="ExternalData_1" localSheetId="1" hidden="1">'Cleaned data'!$A$1:$I$21</definedName>
    <definedName name="Slicer___Change">#N/A</definedName>
    <definedName name="Slicer_Country_Name">#N/A</definedName>
    <definedName name="Slicer_Year">#N/A</definedName>
    <definedName name="Slicer_Year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5" l="1"/>
  <c r="K22" i="5"/>
  <c r="I22" i="5"/>
  <c r="J3" i="5"/>
  <c r="J4" i="5"/>
  <c r="J5" i="5"/>
  <c r="R5" i="5" s="1"/>
  <c r="J6" i="5"/>
  <c r="R6" i="5" s="1"/>
  <c r="J7" i="5"/>
  <c r="J8" i="5"/>
  <c r="R8" i="5" s="1"/>
  <c r="J9" i="5"/>
  <c r="R9" i="5" s="1"/>
  <c r="J10" i="5"/>
  <c r="R10" i="5"/>
  <c r="J11" i="5"/>
  <c r="R11" i="5" s="1"/>
  <c r="J12" i="5"/>
  <c r="J13" i="5"/>
  <c r="J14" i="5"/>
  <c r="R14" i="5"/>
  <c r="J15" i="5"/>
  <c r="J16" i="5"/>
  <c r="J17" i="5"/>
  <c r="J18" i="5"/>
  <c r="R18" i="5" s="1"/>
  <c r="J19" i="5"/>
  <c r="J20" i="5"/>
  <c r="J21" i="5"/>
  <c r="R21" i="5" s="1"/>
  <c r="J2" i="5"/>
  <c r="J22" i="5" s="1"/>
  <c r="R13" i="5"/>
  <c r="R17" i="5"/>
  <c r="R3" i="5"/>
  <c r="R4" i="5"/>
  <c r="R7" i="5"/>
  <c r="R12" i="5"/>
  <c r="R15" i="5"/>
  <c r="R16" i="5"/>
  <c r="R19" i="5"/>
  <c r="R20" i="5"/>
  <c r="Q3" i="5"/>
  <c r="Q4" i="5"/>
  <c r="Q5" i="5"/>
  <c r="Q6" i="5"/>
  <c r="Q7" i="5"/>
  <c r="Q8" i="5"/>
  <c r="Q9" i="5"/>
  <c r="Q10" i="5"/>
  <c r="Q11" i="5"/>
  <c r="Q12" i="5"/>
  <c r="Q13" i="5"/>
  <c r="Q14" i="5"/>
  <c r="Q15" i="5"/>
  <c r="Q16" i="5"/>
  <c r="Q17" i="5"/>
  <c r="Q18" i="5"/>
  <c r="Q19" i="5"/>
  <c r="Q20" i="5"/>
  <c r="Q21" i="5"/>
  <c r="P2" i="5"/>
  <c r="P3" i="5"/>
  <c r="P4" i="5"/>
  <c r="P5" i="5"/>
  <c r="P6" i="5"/>
  <c r="P7" i="5"/>
  <c r="P8" i="5"/>
  <c r="P9" i="5"/>
  <c r="P10" i="5"/>
  <c r="P11" i="5"/>
  <c r="P12" i="5"/>
  <c r="P13" i="5"/>
  <c r="P14" i="5"/>
  <c r="P15" i="5"/>
  <c r="P16" i="5"/>
  <c r="P17" i="5"/>
  <c r="P18" i="5"/>
  <c r="P19" i="5"/>
  <c r="P20" i="5"/>
  <c r="P21" i="5"/>
  <c r="O6" i="5"/>
  <c r="O5" i="5"/>
  <c r="O4" i="5"/>
  <c r="O3" i="5"/>
  <c r="O2" i="5"/>
  <c r="L2" i="5"/>
  <c r="K18" i="5"/>
  <c r="K17" i="5"/>
  <c r="K5" i="5"/>
  <c r="K2" i="5"/>
  <c r="K12" i="5"/>
  <c r="K9" i="5"/>
  <c r="K21" i="5"/>
  <c r="K13" i="5"/>
  <c r="K7" i="5"/>
  <c r="K3" i="5"/>
  <c r="K15" i="5"/>
  <c r="K14" i="5"/>
  <c r="K4" i="5"/>
  <c r="K11" i="5"/>
  <c r="K10" i="5"/>
  <c r="K20" i="5"/>
  <c r="K19" i="5"/>
  <c r="K6" i="5"/>
  <c r="K8" i="5"/>
  <c r="K16" i="5"/>
  <c r="L18" i="5"/>
  <c r="L17" i="5"/>
  <c r="L5" i="5"/>
  <c r="L12" i="5"/>
  <c r="L9" i="5"/>
  <c r="L21" i="5"/>
  <c r="L13" i="5"/>
  <c r="L7" i="5"/>
  <c r="L3" i="5"/>
  <c r="L15" i="5"/>
  <c r="L14" i="5"/>
  <c r="L4" i="5"/>
  <c r="L11" i="5"/>
  <c r="L10" i="5"/>
  <c r="L20" i="5"/>
  <c r="L19" i="5"/>
  <c r="L6" i="5"/>
  <c r="L8" i="5"/>
  <c r="L16" i="5"/>
  <c r="M18" i="5"/>
  <c r="M17" i="5"/>
  <c r="M5" i="5"/>
  <c r="M2" i="5"/>
  <c r="M12" i="5"/>
  <c r="M9" i="5"/>
  <c r="M21" i="5"/>
  <c r="M13" i="5"/>
  <c r="M7" i="5"/>
  <c r="M3" i="5"/>
  <c r="M15" i="5"/>
  <c r="M14" i="5"/>
  <c r="M4" i="5"/>
  <c r="M11" i="5"/>
  <c r="M10" i="5"/>
  <c r="M20" i="5"/>
  <c r="M19" i="5"/>
  <c r="M6" i="5"/>
  <c r="M8" i="5"/>
  <c r="M16" i="5"/>
  <c r="R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8AA498-B449-4BE1-B11E-35FE8F944FAB}" keepAlive="1" name="Query - Table1" description="Connection to the 'Table1' query in the workbook." type="5" refreshedVersion="4"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<sst xmlns="http://schemas.openxmlformats.org/spreadsheetml/2006/main" count="1298" uniqueCount="624">
  <si>
    <t>Iraq</t>
  </si>
  <si>
    <t>IDB</t>
  </si>
  <si>
    <t>Russian Federation</t>
  </si>
  <si>
    <t>Sri Lanka</t>
  </si>
  <si>
    <t>Haiti</t>
  </si>
  <si>
    <t>MCO</t>
  </si>
  <si>
    <t>South Asia (IDA &amp; IBRD)</t>
  </si>
  <si>
    <t>Zambia</t>
  </si>
  <si>
    <t>CRI</t>
  </si>
  <si>
    <t>ABW</t>
  </si>
  <si>
    <t>Netherlands</t>
  </si>
  <si>
    <t>YEM</t>
  </si>
  <si>
    <t>MDG</t>
  </si>
  <si>
    <t>AGO</t>
  </si>
  <si>
    <t>2012</t>
  </si>
  <si>
    <t>TUN</t>
  </si>
  <si>
    <t>Djibouti</t>
  </si>
  <si>
    <t>2019</t>
  </si>
  <si>
    <t>QAT</t>
  </si>
  <si>
    <t>Gambia, The</t>
  </si>
  <si>
    <t>FIN</t>
  </si>
  <si>
    <t>Iceland</t>
  </si>
  <si>
    <t>DZA</t>
  </si>
  <si>
    <t>SOM</t>
  </si>
  <si>
    <t>2021</t>
  </si>
  <si>
    <t>Senegal</t>
  </si>
  <si>
    <t>Morocco</t>
  </si>
  <si>
    <t>1971</t>
  </si>
  <si>
    <t>Bangladesh</t>
  </si>
  <si>
    <t>GUM</t>
  </si>
  <si>
    <t>European Union</t>
  </si>
  <si>
    <t>POL</t>
  </si>
  <si>
    <t>Small states</t>
  </si>
  <si>
    <t>1978</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</si>
  <si>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</si>
  <si>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</si>
  <si>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</si>
  <si>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</si>
  <si>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</si>
  <si>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</si>
  <si>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</si>
  <si>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</si>
  <si>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</si>
  <si>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</si>
  <si>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</si>
  <si>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</si>
  <si>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</si>
  <si>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</si>
  <si>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1980</t>
  </si>
  <si>
    <t>Austria</t>
  </si>
  <si>
    <t>SSD</t>
  </si>
  <si>
    <t>HND</t>
  </si>
  <si>
    <t>Last Updated Date</t>
  </si>
  <si>
    <t>1987</t>
  </si>
  <si>
    <t>SUR</t>
  </si>
  <si>
    <t>MMR</t>
  </si>
  <si>
    <t>LIC</t>
  </si>
  <si>
    <t>BHR</t>
  </si>
  <si>
    <t>PRY</t>
  </si>
  <si>
    <t>Sweden</t>
  </si>
  <si>
    <t>Poland</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</si>
  <si>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</si>
  <si>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</si>
  <si>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</si>
  <si>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</si>
  <si>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</si>
  <si>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</si>
  <si>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</si>
  <si>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</si>
  <si>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</si>
  <si>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</si>
  <si>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</si>
  <si>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</si>
  <si>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</si>
  <si>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</si>
  <si>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</si>
  <si>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</si>
  <si>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</si>
  <si>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</si>
  <si>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Cuba</t>
  </si>
  <si>
    <t>CUW</t>
  </si>
  <si>
    <t>Solomon Islands</t>
  </si>
  <si>
    <t>ETH</t>
  </si>
  <si>
    <t>2022</t>
  </si>
  <si>
    <t>VCT</t>
  </si>
  <si>
    <t>Nauru</t>
  </si>
  <si>
    <t>Ireland</t>
  </si>
  <si>
    <t>2002</t>
  </si>
  <si>
    <t>2009</t>
  </si>
  <si>
    <t>ECU</t>
  </si>
  <si>
    <t>American Samoa</t>
  </si>
  <si>
    <t>LTU</t>
  </si>
  <si>
    <t>Arab World</t>
  </si>
  <si>
    <t>1979</t>
  </si>
  <si>
    <t>IMN</t>
  </si>
  <si>
    <t>MLT</t>
  </si>
  <si>
    <t>Burkina Faso</t>
  </si>
  <si>
    <t>Turkiye</t>
  </si>
  <si>
    <t>BTN</t>
  </si>
  <si>
    <t>North Macedonia</t>
  </si>
  <si>
    <t>Turks and Caicos Islands</t>
  </si>
  <si>
    <t>VUT</t>
  </si>
  <si>
    <t>SAS</t>
  </si>
  <si>
    <t>Jamaica</t>
  </si>
  <si>
    <t>BRN</t>
  </si>
  <si>
    <t>Pacific island small states</t>
  </si>
  <si>
    <t>Gibraltar</t>
  </si>
  <si>
    <t>1981</t>
  </si>
  <si>
    <t>PAK</t>
  </si>
  <si>
    <t>1961</t>
  </si>
  <si>
    <t>1988</t>
  </si>
  <si>
    <t>VIR</t>
  </si>
  <si>
    <t>SWZ</t>
  </si>
  <si>
    <t>GTM</t>
  </si>
  <si>
    <t>MOZ</t>
  </si>
  <si>
    <t>NER</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</si>
  <si>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</si>
  <si>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</si>
  <si>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</si>
  <si>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</si>
  <si>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</si>
  <si>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</si>
  <si>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</si>
  <si>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</si>
  <si>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</si>
  <si>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</si>
  <si>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</si>
  <si>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</si>
  <si>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</si>
  <si>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</si>
  <si>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</si>
  <si>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</si>
  <si>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</si>
  <si>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</si>
  <si>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</si>
  <si>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</si>
  <si>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</si>
  <si>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</si>
  <si>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2023</t>
  </si>
  <si>
    <t>ERI</t>
  </si>
  <si>
    <t>2003</t>
  </si>
  <si>
    <t>Italy</t>
  </si>
  <si>
    <t>TTO</t>
  </si>
  <si>
    <t>AFW</t>
  </si>
  <si>
    <t>LCN</t>
  </si>
  <si>
    <t>Syrian Arab Republic</t>
  </si>
  <si>
    <t>Niger</t>
  </si>
  <si>
    <t>IRN</t>
  </si>
  <si>
    <t>Northern Mariana Islands</t>
  </si>
  <si>
    <t>Samoa</t>
  </si>
  <si>
    <t>1982</t>
  </si>
  <si>
    <t>SSF</t>
  </si>
  <si>
    <t>Central African Republic</t>
  </si>
  <si>
    <t>CHN</t>
  </si>
  <si>
    <t>Switzerland</t>
  </si>
  <si>
    <t>PRT</t>
  </si>
  <si>
    <t>1962</t>
  </si>
  <si>
    <t>1989</t>
  </si>
  <si>
    <t>1969</t>
  </si>
  <si>
    <t>SST</t>
  </si>
  <si>
    <t>Korea, Rep.</t>
  </si>
  <si>
    <t>NCL</t>
  </si>
  <si>
    <t>PSE</t>
  </si>
  <si>
    <t>MNE</t>
  </si>
  <si>
    <t>Canada</t>
  </si>
  <si>
    <t>1991</t>
  </si>
  <si>
    <t>MAR</t>
  </si>
  <si>
    <t>Albania</t>
  </si>
  <si>
    <t>India</t>
  </si>
  <si>
    <t>PSS</t>
  </si>
  <si>
    <t>1998</t>
  </si>
  <si>
    <t>East Asia &amp; Pacific (excluding high income)</t>
  </si>
  <si>
    <t>Tunisia</t>
  </si>
  <si>
    <t>Nepal</t>
  </si>
  <si>
    <t>ARE</t>
  </si>
  <si>
    <t>XKX</t>
  </si>
  <si>
    <t>NIC</t>
  </si>
  <si>
    <t>Fragile and conflict affected situations</t>
  </si>
  <si>
    <t>SYR</t>
  </si>
  <si>
    <t>LMC</t>
  </si>
  <si>
    <t>BLR</t>
  </si>
  <si>
    <t>North America</t>
  </si>
  <si>
    <t>Maldives</t>
  </si>
  <si>
    <t>COD</t>
  </si>
  <si>
    <t>Indicator Name</t>
  </si>
  <si>
    <t>Sudan</t>
  </si>
  <si>
    <t>TCA</t>
  </si>
  <si>
    <t>GNQ</t>
  </si>
  <si>
    <t>2004</t>
  </si>
  <si>
    <t>Pre-demographic dividend</t>
  </si>
  <si>
    <t>CEB</t>
  </si>
  <si>
    <t>Sub-Saharan Africa (IDA &amp; IBRD countries)</t>
  </si>
  <si>
    <t>EAP</t>
  </si>
  <si>
    <t>LAO</t>
  </si>
  <si>
    <t>Mexico</t>
  </si>
  <si>
    <t>MWI</t>
  </si>
  <si>
    <t>Liberia</t>
  </si>
  <si>
    <t>SAU</t>
  </si>
  <si>
    <t>DJI</t>
  </si>
  <si>
    <t>Ecuador</t>
  </si>
  <si>
    <t>2013</t>
  </si>
  <si>
    <t>Sao Tome and Principe</t>
  </si>
  <si>
    <t>ESP</t>
  </si>
  <si>
    <t>CUB</t>
  </si>
  <si>
    <t>CYP</t>
  </si>
  <si>
    <t>LSO</t>
  </si>
  <si>
    <t>Togo</t>
  </si>
  <si>
    <t>1963</t>
  </si>
  <si>
    <t>PNG</t>
  </si>
  <si>
    <t>Egypt, Arab Rep.</t>
  </si>
  <si>
    <t>LBN</t>
  </si>
  <si>
    <t>DMA</t>
  </si>
  <si>
    <t>TKM</t>
  </si>
  <si>
    <t>Guatemala</t>
  </si>
  <si>
    <t>Puerto Rico (US)</t>
  </si>
  <si>
    <t>NAM</t>
  </si>
  <si>
    <t>NRU</t>
  </si>
  <si>
    <t>Rwanda</t>
  </si>
  <si>
    <t>Hong Kong SAR, China</t>
  </si>
  <si>
    <t>1992</t>
  </si>
  <si>
    <t>Latvia</t>
  </si>
  <si>
    <t>IBT</t>
  </si>
  <si>
    <t>Europe &amp; Central Asia (excluding high income)</t>
  </si>
  <si>
    <t>PST</t>
  </si>
  <si>
    <t>1972</t>
  </si>
  <si>
    <t>1999</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</si>
  <si>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</si>
  <si>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</si>
  <si>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</si>
  <si>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</si>
  <si>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</si>
  <si>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</si>
  <si>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</si>
  <si>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</si>
  <si>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</si>
  <si>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</si>
  <si>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</si>
  <si>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</si>
  <si>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</si>
  <si>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</si>
  <si>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</si>
  <si>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</si>
  <si>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</si>
  <si>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</si>
  <si>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</si>
  <si>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</si>
  <si>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</si>
  <si>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2005</t>
  </si>
  <si>
    <t>AUS</t>
  </si>
  <si>
    <t>MEX</t>
  </si>
  <si>
    <t>JOR</t>
  </si>
  <si>
    <t>Denmark</t>
  </si>
  <si>
    <t>Sub-Saharan Africa</t>
  </si>
  <si>
    <t>Uzbekistan</t>
  </si>
  <si>
    <t>SLB</t>
  </si>
  <si>
    <t>Argentina</t>
  </si>
  <si>
    <t>2014</t>
  </si>
  <si>
    <t>CHI</t>
  </si>
  <si>
    <t>Serbia</t>
  </si>
  <si>
    <t>Belize</t>
  </si>
  <si>
    <t>1964</t>
  </si>
  <si>
    <t>VEN</t>
  </si>
  <si>
    <t>Angola</t>
  </si>
  <si>
    <t>ECA</t>
  </si>
  <si>
    <t>Low &amp; middle income</t>
  </si>
  <si>
    <t>British Virgin Islands</t>
  </si>
  <si>
    <t>ROU</t>
  </si>
  <si>
    <t>1993</t>
  </si>
  <si>
    <t>SVN</t>
  </si>
  <si>
    <t>Afghanistan</t>
  </si>
  <si>
    <t>1973</t>
  </si>
  <si>
    <t>CIV</t>
  </si>
  <si>
    <t>BRA</t>
  </si>
  <si>
    <t>HKG</t>
  </si>
  <si>
    <t>BEN</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</si>
  <si>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</si>
  <si>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</si>
  <si>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</si>
  <si>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</si>
  <si>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</si>
  <si>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</si>
  <si>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</si>
  <si>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</si>
  <si>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</si>
  <si>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</si>
  <si>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</si>
  <si>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</si>
  <si>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</si>
  <si>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</si>
  <si>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</si>
  <si>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</si>
  <si>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</si>
  <si>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</si>
  <si>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</si>
  <si>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</si>
  <si>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</si>
  <si>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2015</t>
  </si>
  <si>
    <t>Bahrain</t>
  </si>
  <si>
    <t>GAB</t>
  </si>
  <si>
    <t>Lower middle income</t>
  </si>
  <si>
    <t>Curacao</t>
  </si>
  <si>
    <t>INX</t>
  </si>
  <si>
    <t>Slovenia</t>
  </si>
  <si>
    <t>TEA</t>
  </si>
  <si>
    <t>Bermuda</t>
  </si>
  <si>
    <t>France</t>
  </si>
  <si>
    <t>LCA</t>
  </si>
  <si>
    <t>PLW</t>
  </si>
  <si>
    <t>2024</t>
  </si>
  <si>
    <t>Slovak Republic</t>
  </si>
  <si>
    <t>TGO</t>
  </si>
  <si>
    <t>Micronesia, Fed. Sts.</t>
  </si>
  <si>
    <t>1974</t>
  </si>
  <si>
    <t>FJI</t>
  </si>
  <si>
    <t>KNA</t>
  </si>
  <si>
    <t>Congo, Rep.</t>
  </si>
  <si>
    <t>BRB</t>
  </si>
  <si>
    <t>Channel Islands</t>
  </si>
  <si>
    <t>ZAF</t>
  </si>
  <si>
    <t>Bosnia and Herzegovina</t>
  </si>
  <si>
    <t>Viet Nam</t>
  </si>
  <si>
    <t>Europe &amp; Central Asia</t>
  </si>
  <si>
    <t>BWA</t>
  </si>
  <si>
    <t>1983</t>
  </si>
  <si>
    <t>Mongolia</t>
  </si>
  <si>
    <t>St. Martin (French part)</t>
  </si>
  <si>
    <t>Malta</t>
  </si>
  <si>
    <t>United States</t>
  </si>
  <si>
    <t>EMU</t>
  </si>
  <si>
    <t>COG</t>
  </si>
  <si>
    <t>Montenegro</t>
  </si>
  <si>
    <t>World Development Indicators</t>
  </si>
  <si>
    <t>Monaco</t>
  </si>
  <si>
    <t>Late-demographic dividend</t>
  </si>
  <si>
    <t>Antigua and Barbuda</t>
  </si>
  <si>
    <t>SXM</t>
  </si>
  <si>
    <t>MRT</t>
  </si>
  <si>
    <t>Iran, Islamic Rep.</t>
  </si>
  <si>
    <t>OSS</t>
  </si>
  <si>
    <t>Dominican Republic</t>
  </si>
  <si>
    <t>KGZ</t>
  </si>
  <si>
    <t>Lithuania</t>
  </si>
  <si>
    <t>Madagascar</t>
  </si>
  <si>
    <t>2016</t>
  </si>
  <si>
    <t>MUS</t>
  </si>
  <si>
    <t>TUR</t>
  </si>
  <si>
    <t>Myanmar</t>
  </si>
  <si>
    <t>Portugal</t>
  </si>
  <si>
    <t>Brunei Darussalam</t>
  </si>
  <si>
    <t>Virgin Islands (U.S.)</t>
  </si>
  <si>
    <t>ZMB</t>
  </si>
  <si>
    <t>Australia</t>
  </si>
  <si>
    <t>2025</t>
  </si>
  <si>
    <t>Ukraine</t>
  </si>
  <si>
    <t>Kosovo</t>
  </si>
  <si>
    <t>Tuvalu</t>
  </si>
  <si>
    <t>Central Europe and the Baltics</t>
  </si>
  <si>
    <t>SRB</t>
  </si>
  <si>
    <t>Lebanon</t>
  </si>
  <si>
    <t>1975</t>
  </si>
  <si>
    <t>Cyprus</t>
  </si>
  <si>
    <t>STP</t>
  </si>
  <si>
    <t>External debt stocks, total (DOD, current US$)</t>
  </si>
  <si>
    <t>THA</t>
  </si>
  <si>
    <t>Malaysia</t>
  </si>
  <si>
    <t>Papua New Guinea</t>
  </si>
  <si>
    <t>San Marino</t>
  </si>
  <si>
    <t>Middle income</t>
  </si>
  <si>
    <t>SSA</t>
  </si>
  <si>
    <t>ALB</t>
  </si>
  <si>
    <t>BFA</t>
  </si>
  <si>
    <t>1984</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</si>
  <si>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</si>
  <si>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</si>
  <si>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</si>
  <si>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</si>
  <si>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</si>
  <si>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</si>
  <si>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</si>
  <si>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</si>
  <si>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</si>
  <si>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</si>
  <si>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</si>
  <si>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</si>
  <si>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</si>
  <si>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</si>
  <si>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</si>
  <si>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</si>
  <si>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</si>
  <si>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</si>
  <si>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</si>
  <si>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</si>
  <si>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</si>
  <si>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</si>
  <si>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</si>
  <si>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</si>
  <si>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</si>
  <si>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</si>
  <si>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</si>
  <si>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</si>
  <si>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</si>
  <si>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</si>
  <si>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ARG</t>
  </si>
  <si>
    <t>Gabon</t>
  </si>
  <si>
    <t>Lesotho</t>
  </si>
  <si>
    <t>IDA blend</t>
  </si>
  <si>
    <t>Seychelles</t>
  </si>
  <si>
    <t>TSS</t>
  </si>
  <si>
    <t>China</t>
  </si>
  <si>
    <t>Singapore</t>
  </si>
  <si>
    <t>KWT</t>
  </si>
  <si>
    <t>UKR</t>
  </si>
  <si>
    <t>AFE</t>
  </si>
  <si>
    <t>Suriname</t>
  </si>
  <si>
    <t>TEC</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</si>
  <si>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</si>
  <si>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</si>
  <si>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</si>
  <si>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</si>
  <si>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</si>
  <si>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</si>
  <si>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</si>
  <si>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</si>
  <si>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</si>
  <si>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</si>
  <si>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</si>
  <si>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</si>
  <si>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</si>
  <si>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</si>
  <si>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</si>
  <si>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</si>
  <si>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</si>
  <si>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</si>
  <si>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</si>
  <si>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Azerbaijan</t>
  </si>
  <si>
    <t>IRQ</t>
  </si>
  <si>
    <t>Panama</t>
  </si>
  <si>
    <t>Africa Eastern and Southern</t>
  </si>
  <si>
    <t>Malawi</t>
  </si>
  <si>
    <t>1985</t>
  </si>
  <si>
    <t>GRC</t>
  </si>
  <si>
    <t>LUX</t>
  </si>
  <si>
    <t>1965</t>
  </si>
  <si>
    <t>IDA</t>
  </si>
  <si>
    <t>BDI</t>
  </si>
  <si>
    <t>GHA</t>
  </si>
  <si>
    <t>Honduras</t>
  </si>
  <si>
    <t>MNA</t>
  </si>
  <si>
    <t>Romania</t>
  </si>
  <si>
    <t>Libya</t>
  </si>
  <si>
    <t>BIH</t>
  </si>
  <si>
    <t>Thailand</t>
  </si>
  <si>
    <t>1994</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</si>
  <si>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</si>
  <si>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</si>
  <si>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</si>
  <si>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</si>
  <si>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</si>
  <si>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</si>
  <si>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</si>
  <si>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</si>
  <si>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</si>
  <si>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</si>
  <si>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</si>
  <si>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</si>
  <si>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</si>
  <si>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</si>
  <si>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</si>
  <si>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</si>
  <si>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</si>
  <si>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</si>
  <si>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</si>
  <si>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</si>
  <si>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</si>
  <si>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</si>
  <si>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</si>
  <si>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</si>
  <si>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</si>
  <si>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</si>
  <si>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</si>
  <si>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</si>
  <si>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</si>
  <si>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</si>
  <si>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</si>
  <si>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</si>
  <si>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</si>
  <si>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</si>
  <si>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</si>
  <si>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</si>
  <si>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</si>
  <si>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</si>
  <si>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</si>
  <si>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</si>
  <si>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DT.DOD.DECT.CD</t>
  </si>
  <si>
    <t>1966</t>
  </si>
  <si>
    <t>Nicaragua</t>
  </si>
  <si>
    <t>Latin America &amp; Caribbean</t>
  </si>
  <si>
    <t>Mozambique</t>
  </si>
  <si>
    <t>Bulgaria</t>
  </si>
  <si>
    <t>Chad</t>
  </si>
  <si>
    <t>1995</t>
  </si>
  <si>
    <t>TLA</t>
  </si>
  <si>
    <t>MLI</t>
  </si>
  <si>
    <t>MNP</t>
  </si>
  <si>
    <t>Qatar</t>
  </si>
  <si>
    <t>Liechtenstein</t>
  </si>
  <si>
    <t>USA</t>
  </si>
  <si>
    <t>ARB</t>
  </si>
  <si>
    <t>Georgia</t>
  </si>
  <si>
    <t>TON</t>
  </si>
  <si>
    <t>HRV</t>
  </si>
  <si>
    <t>FRA</t>
  </si>
  <si>
    <t>AFG</t>
  </si>
  <si>
    <t>Benin</t>
  </si>
  <si>
    <t>2001</t>
  </si>
  <si>
    <t>Vanuatu</t>
  </si>
  <si>
    <t>Kiribati</t>
  </si>
  <si>
    <t>VNM</t>
  </si>
  <si>
    <t>HUN</t>
  </si>
  <si>
    <t>2008</t>
  </si>
  <si>
    <t>BMU</t>
  </si>
  <si>
    <t>MHL</t>
  </si>
  <si>
    <t>Data Source</t>
  </si>
  <si>
    <t>Belgium</t>
  </si>
  <si>
    <t>SLE</t>
  </si>
  <si>
    <t>Equatorial Guinea</t>
  </si>
  <si>
    <t>Tonga</t>
  </si>
  <si>
    <t>2010</t>
  </si>
  <si>
    <t>CHE</t>
  </si>
  <si>
    <t>Low income</t>
  </si>
  <si>
    <t>CYM</t>
  </si>
  <si>
    <t>2017</t>
  </si>
  <si>
    <t>OED</t>
  </si>
  <si>
    <t>MKD</t>
  </si>
  <si>
    <t>CHL</t>
  </si>
  <si>
    <t>Eswatini</t>
  </si>
  <si>
    <t>EST</t>
  </si>
  <si>
    <t>1960</t>
  </si>
  <si>
    <t>Middle East, North Africa, Afghanistan &amp; Pakistan (excluding high income)</t>
  </si>
  <si>
    <t>1967</t>
  </si>
  <si>
    <t>LBR</t>
  </si>
  <si>
    <t>GRL</t>
  </si>
  <si>
    <t>NAC</t>
  </si>
  <si>
    <t>Trinidad and Tobago</t>
  </si>
  <si>
    <t>LBY</t>
  </si>
  <si>
    <t>KOR</t>
  </si>
  <si>
    <t>CZE</t>
  </si>
  <si>
    <t>United Kingdom</t>
  </si>
  <si>
    <t>ISR</t>
  </si>
  <si>
    <t>EGY</t>
  </si>
  <si>
    <t>Timor-Leste</t>
  </si>
  <si>
    <t>Cambodia</t>
  </si>
  <si>
    <t>IDX</t>
  </si>
  <si>
    <t>1996</t>
  </si>
  <si>
    <t>1976</t>
  </si>
  <si>
    <t>Palau</t>
  </si>
  <si>
    <t>Norway</t>
  </si>
  <si>
    <t>GIB</t>
  </si>
  <si>
    <t>Heavily indebted poor countries (HIPC)</t>
  </si>
  <si>
    <t>NGA</t>
  </si>
  <si>
    <t>PRI</t>
  </si>
  <si>
    <t>LKA</t>
  </si>
  <si>
    <t>Cote d'Ivoire</t>
  </si>
  <si>
    <t>Algeria</t>
  </si>
  <si>
    <t>Dominica</t>
  </si>
  <si>
    <t>Greece</t>
  </si>
  <si>
    <t>Early-demographic dividend</t>
  </si>
  <si>
    <t>Uganda</t>
  </si>
  <si>
    <t>Other small states</t>
  </si>
  <si>
    <t>KEN</t>
  </si>
  <si>
    <t>Oman</t>
  </si>
  <si>
    <t>Yemen, Rep.</t>
  </si>
  <si>
    <t>2011</t>
  </si>
  <si>
    <t>JAM</t>
  </si>
  <si>
    <t>Sierra Leone</t>
  </si>
  <si>
    <t>EUU</t>
  </si>
  <si>
    <t>2018</t>
  </si>
  <si>
    <t>Africa Western and Central</t>
  </si>
  <si>
    <t>Marshall Islands</t>
  </si>
  <si>
    <t>KHM</t>
  </si>
  <si>
    <t>1968</t>
  </si>
  <si>
    <t>East Asia &amp; Pacific (IDA &amp; IBRD countries)</t>
  </si>
  <si>
    <t>DOM</t>
  </si>
  <si>
    <t>IBRD only</t>
  </si>
  <si>
    <t>WLD</t>
  </si>
  <si>
    <t>Middle East, North Africa, Afghanistan &amp; Pakistan (IDA &amp; IBRD)</t>
  </si>
  <si>
    <t>2020</t>
  </si>
  <si>
    <t>Country Name</t>
  </si>
  <si>
    <t>NPL</t>
  </si>
  <si>
    <t>LTE</t>
  </si>
  <si>
    <t>New Caledonia</t>
  </si>
  <si>
    <t>Kuwait</t>
  </si>
  <si>
    <t>Eritrea</t>
  </si>
  <si>
    <t>1970</t>
  </si>
  <si>
    <t>Indicator Code</t>
  </si>
  <si>
    <t>1997</t>
  </si>
  <si>
    <t>URY</t>
  </si>
  <si>
    <t>IDA only</t>
  </si>
  <si>
    <t>1977</t>
  </si>
  <si>
    <t>Japan</t>
  </si>
  <si>
    <t>Guam</t>
  </si>
  <si>
    <t>IDA total</t>
  </si>
  <si>
    <t>AND</t>
  </si>
  <si>
    <t>Kenya</t>
  </si>
  <si>
    <t>Pakistan</t>
  </si>
  <si>
    <t>Zimbabwe</t>
  </si>
  <si>
    <t>Cameroon</t>
  </si>
  <si>
    <t>Grand Total</t>
  </si>
  <si>
    <t>Total</t>
  </si>
  <si>
    <t>% Change</t>
  </si>
  <si>
    <t>CAGR</t>
  </si>
  <si>
    <t>SUM</t>
  </si>
  <si>
    <t>Sum of % Change</t>
  </si>
  <si>
    <t>Path</t>
  </si>
  <si>
    <t>Data</t>
  </si>
  <si>
    <t>Sum of 2024</t>
  </si>
  <si>
    <t>Year</t>
  </si>
  <si>
    <t>Total Debt</t>
  </si>
  <si>
    <t>Sum of Total Debt</t>
  </si>
  <si>
    <t>COUNTRY</t>
  </si>
  <si>
    <t>DEBT</t>
  </si>
  <si>
    <t>%CHANGE</t>
  </si>
  <si>
    <t xml:space="preserve"> </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</si>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</sst>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_-[$$-1009]* #,##0_-;\-[$$-1009]* #,##0_-;_-[$$-1009]*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D86"/>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11" xfId="0" pivotButton="1" applyBorder="1"/>
    <xf numFmtId="0" fontId="0" fillId="0" borderId="12" xfId="0" applyBorder="1"/>
    <xf numFmtId="0" fontId="0" fillId="0" borderId="11" xfId="0" applyBorder="1"/>
    <xf numFmtId="0" fontId="0" fillId="0" borderId="13" xfId="0" applyBorder="1"/>
    <xf numFmtId="0" fontId="0" fillId="0" borderId="15" xfId="0" applyBorder="1"/>
    <xf numFmtId="0" fontId="0" fillId="0" borderId="16" xfId="0" applyBorder="1"/>
    <xf numFmtId="0" fontId="0" fillId="0" borderId="17" xfId="0" applyBorder="1"/>
    <xf numFmtId="1" fontId="0" fillId="0" borderId="11" xfId="0" applyNumberFormat="1" applyBorder="1"/>
    <xf numFmtId="1" fontId="0" fillId="0" borderId="15" xfId="0" applyNumberFormat="1" applyBorder="1"/>
    <xf numFmtId="9" fontId="0" fillId="0" borderId="12" xfId="0" applyNumberFormat="1" applyBorder="1"/>
    <xf numFmtId="9" fontId="0" fillId="0" borderId="10" xfId="0" applyNumberFormat="1" applyBorder="1"/>
    <xf numFmtId="1" fontId="0" fillId="0" borderId="13" xfId="0" applyNumberFormat="1" applyBorder="1"/>
    <xf numFmtId="9" fontId="0" fillId="0" borderId="14" xfId="0" applyNumberFormat="1" applyBorder="1"/>
    <xf numFmtId="0" fontId="0" fillId="0" borderId="10" xfId="0" applyNumberFormat="1" applyBorder="1"/>
    <xf numFmtId="0" fontId="0" fillId="0" borderId="0" xfId="0" applyNumberFormat="1"/>
    <xf numFmtId="0" fontId="0" fillId="0" borderId="12" xfId="0" applyNumberFormat="1" applyBorder="1"/>
    <xf numFmtId="0" fontId="0" fillId="0" borderId="14"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7" formatCode="_-[$$-1009]* #,##0_-;\-[$$-1009]* #,##0_-;_-[$$-1009]* &quot;-&quot;_-;_-@_-"/>
    </dxf>
    <dxf>
      <numFmt numFmtId="167" formatCode="_-[$$-1009]* #,##0_-;\-[$$-1009]* #,##0_-;_-[$$-1009]* &quot;-&quot;_-;_-@_-"/>
    </dxf>
    <dxf>
      <numFmt numFmtId="167" formatCode="_-[$$-1009]* #,##0_-;\-[$$-1009]* #,##0_-;_-[$$-1009]* &quot;-&quot;_-;_-@_-"/>
    </dxf>
    <dxf>
      <numFmt numFmtId="167" formatCode="_-[$$-1009]* #,##0_-;\-[$$-1009]* #,##0_-;_-[$$-1009]* &quot;-&quot;_-;_-@_-"/>
    </dxf>
    <dxf>
      <font>
        <b/>
        <i val="0"/>
        <sz val="26"/>
        <color rgb="FF002D86"/>
        <name val="Aptos Narrow"/>
        <family val="2"/>
        <scheme val="none"/>
      </font>
      <fill>
        <gradientFill degree="90">
          <stop position="0">
            <color theme="2" tint="-9.8025452436902985E-2"/>
          </stop>
          <stop position="1">
            <color theme="2" tint="-9.8025452436902985E-2"/>
          </stop>
        </gradientFill>
      </fill>
    </dxf>
    <dxf>
      <font>
        <b/>
        <i val="0"/>
        <sz val="24"/>
        <color theme="2"/>
        <name val="Aptos Narrow"/>
        <family val="2"/>
        <scheme val="none"/>
      </font>
      <fill>
        <gradientFill degree="90">
          <stop position="0">
            <color rgb="FF002D86"/>
          </stop>
          <stop position="1">
            <color rgb="FF002D86"/>
          </stop>
        </gradientFill>
      </fill>
      <border diagonalUp="0" diagonalDown="0">
        <left/>
        <right/>
        <top/>
        <bottom/>
        <vertical/>
        <horizontal/>
      </border>
    </dxf>
    <dxf>
      <font>
        <b/>
        <i val="0"/>
        <sz val="24"/>
        <color rgb="FFFFC000"/>
        <name val="Aptos Narrow"/>
        <family val="2"/>
        <scheme val="none"/>
      </font>
      <fill>
        <gradientFill degree="90">
          <stop position="0">
            <color rgb="FF002D86"/>
          </stop>
          <stop position="1">
            <color rgb="FF002D86"/>
          </stop>
        </gradientFill>
      </fill>
      <border diagonalUp="0" diagonalDown="0">
        <left/>
        <right/>
        <top/>
        <bottom/>
        <vertical/>
        <horizontal/>
      </border>
    </dxf>
  </dxfs>
  <tableStyles count="3" defaultTableStyle="TableStyleMedium2" defaultPivotStyle="PivotStyleLight16">
    <tableStyle name="Slicer Style 1" pivot="0" table="0" count="1" xr9:uid="{1EED8A43-7C11-4D75-978F-967DDE98654B}">
      <tableStyleElement type="wholeTable" dxfId="6"/>
    </tableStyle>
    <tableStyle name="Slicer Style 1 2" pivot="0" table="0" count="1" xr9:uid="{52D67899-C680-4D4A-8A7E-0577CB36FB39}">
      <tableStyleElement type="wholeTable" dxfId="5"/>
    </tableStyle>
    <tableStyle name="Slicer Style 2" pivot="0" table="0" count="2" xr9:uid="{AB06606E-509D-4ACE-A4F9-5FCD8AE737F9}">
      <tableStyleElement type="wholeTable" dxfId="4"/>
    </tableStyle>
  </tableStyles>
  <colors>
    <mruColors>
      <color rgb="FF002D86"/>
      <color rgb="FF004ADE"/>
      <color rgb="FF003192"/>
      <color rgb="FF292DD7"/>
      <color rgb="FF2124AF"/>
      <color rgb="FF0037A4"/>
      <color rgb="FF0039AC"/>
    </mruColors>
  </colors>
  <extLst>
    <ext xmlns:x14="http://schemas.microsoft.com/office/spreadsheetml/2009/9/main" uri="{46F421CA-312F-682f-3DD2-61675219B42D}">
      <x14:dxfs count="1">
        <dxf>
          <font>
            <b/>
            <i val="0"/>
            <sz val="26"/>
          </font>
          <fill>
            <gradientFill degree="90">
              <stop position="0">
                <color rgb="FF002D86"/>
              </stop>
              <stop position="1">
                <color rgb="FF002D86"/>
              </stop>
            </gradientFill>
          </fill>
        </dxf>
      </x14:dxfs>
    </ext>
    <ext xmlns:x14="http://schemas.microsoft.com/office/spreadsheetml/2009/9/main" uri="{EB79DEF2-80B8-43e5-95BD-54CBDDF9020C}">
      <x14:slicerStyles defaultSlicerStyle="SlicerStyleLight1">
        <x14:slicerStyle name="Slicer Style 1"/>
        <x14:slicerStyle name="Slicer Style 1 2"/>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External</a:t>
            </a:r>
            <a:r>
              <a:rPr lang="en-US" baseline="0"/>
              <a:t> Debt by Country 2024</a:t>
            </a:r>
            <a:endParaRPr lang="en-US"/>
          </a:p>
        </c:rich>
      </c:tx>
      <c:overlay val="0"/>
      <c:spPr>
        <a:noFill/>
        <a:ln w="25400">
          <a:noFill/>
        </a:ln>
      </c:spPr>
    </c:title>
    <c:autoTitleDeleted val="0"/>
    <c:pivotFmts>
      <c:pivotFmt>
        <c:idx val="0"/>
        <c:spPr>
          <a:solidFill>
            <a:srgbClr val="156082"/>
          </a:solidFill>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Tables'!$B$1:$B$2</c:f>
              <c:strCache>
                <c:ptCount val="1"/>
                <c:pt idx="0">
                  <c:v>Total</c:v>
                </c:pt>
              </c:strCache>
            </c:strRef>
          </c:tx>
          <c:spPr>
            <a:solidFill>
              <a:srgbClr val="156082"/>
            </a:solidFill>
            <a:ln w="25400">
              <a:noFill/>
            </a:ln>
          </c:spPr>
          <c:invertIfNegative val="0"/>
          <c:cat>
            <c:strRef>
              <c:f>'Pivot Tables'!$A$3:$A$13</c:f>
              <c:strCache>
                <c:ptCount val="10"/>
                <c:pt idx="0">
                  <c:v>China</c:v>
                </c:pt>
                <c:pt idx="1">
                  <c:v>India</c:v>
                </c:pt>
                <c:pt idx="2">
                  <c:v>Brazil</c:v>
                </c:pt>
                <c:pt idx="3">
                  <c:v>Mexico</c:v>
                </c:pt>
                <c:pt idx="4">
                  <c:v>Turkiye</c:v>
                </c:pt>
                <c:pt idx="5">
                  <c:v>Indonesia</c:v>
                </c:pt>
                <c:pt idx="6">
                  <c:v>South Africa</c:v>
                </c:pt>
                <c:pt idx="7">
                  <c:v>Egypt, Arab Rep.</c:v>
                </c:pt>
                <c:pt idx="8">
                  <c:v>Philippines</c:v>
                </c:pt>
                <c:pt idx="9">
                  <c:v>Nigeria</c:v>
                </c:pt>
              </c:strCache>
            </c:strRef>
          </c:cat>
          <c:val>
            <c:numRef>
              <c:f>'Pivot Tables'!$B$3:$B$13</c:f>
              <c:numCache>
                <c:formatCode>General</c:formatCode>
                <c:ptCount val="10"/>
                <c:pt idx="0">
                  <c:v>2419835436491.7998</c:v>
                </c:pt>
                <c:pt idx="1">
                  <c:v>716456023890.40002</c:v>
                </c:pt>
                <c:pt idx="2">
                  <c:v>605463780812.80005</c:v>
                </c:pt>
                <c:pt idx="3">
                  <c:v>591255026725</c:v>
                </c:pt>
                <c:pt idx="4">
                  <c:v>514989218110.79999</c:v>
                </c:pt>
                <c:pt idx="5">
                  <c:v>421059208493.79999</c:v>
                </c:pt>
                <c:pt idx="6">
                  <c:v>175895546993.5</c:v>
                </c:pt>
                <c:pt idx="7">
                  <c:v>155972716013.20001</c:v>
                </c:pt>
                <c:pt idx="8">
                  <c:v>137018240525.2</c:v>
                </c:pt>
                <c:pt idx="9">
                  <c:v>108757630161.5</c:v>
                </c:pt>
              </c:numCache>
            </c:numRef>
          </c:val>
          <c:extLst>
            <c:ext xmlns:c16="http://schemas.microsoft.com/office/drawing/2014/chart" uri="{C3380CC4-5D6E-409C-BE32-E72D297353CC}">
              <c16:uniqueId val="{00000000-75D8-4FC1-A79C-138ADFC19FF4}"/>
            </c:ext>
          </c:extLst>
        </c:ser>
        <c:dLbls>
          <c:showLegendKey val="0"/>
          <c:showVal val="0"/>
          <c:showCatName val="0"/>
          <c:showSerName val="0"/>
          <c:showPercent val="0"/>
          <c:showBubbleSize val="0"/>
        </c:dLbls>
        <c:gapWidth val="182"/>
        <c:axId val="1873520496"/>
        <c:axId val="1"/>
      </c:barChart>
      <c:catAx>
        <c:axId val="187352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3520496"/>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solidFill>
                <a:schemeClr val="accent1"/>
              </a:solidFill>
              <a:round/>
            </a:ln>
            <a:effectLst/>
          </c:spPr>
          <c:marker>
            <c:symbol val="none"/>
          </c:marker>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0-9A53-4CA9-B4E4-AF6F07A9FF79}"/>
            </c:ext>
          </c:extLst>
        </c:ser>
        <c:ser>
          <c:idx val="1"/>
          <c:order val="1"/>
          <c:spPr>
            <a:ln w="19050" cap="rnd">
              <a:solidFill>
                <a:schemeClr val="accent2"/>
              </a:solidFill>
              <a:round/>
            </a:ln>
            <a:effectLst/>
          </c:spPr>
          <c:marker>
            <c:symbol val="none"/>
          </c:marker>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9A53-4CA9-B4E4-AF6F07A9FF79}"/>
            </c:ext>
          </c:extLst>
        </c:ser>
        <c:ser>
          <c:idx val="2"/>
          <c:order val="2"/>
          <c:spPr>
            <a:ln w="19050" cap="rnd">
              <a:solidFill>
                <a:schemeClr val="accent3"/>
              </a:solidFill>
              <a:round/>
            </a:ln>
            <a:effectLst/>
          </c:spPr>
          <c:marker>
            <c:symbol val="none"/>
          </c:marker>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2-9A53-4CA9-B4E4-AF6F07A9FF79}"/>
            </c:ext>
          </c:extLst>
        </c:ser>
        <c:dLbls>
          <c:showLegendKey val="0"/>
          <c:showVal val="0"/>
          <c:showCatName val="0"/>
          <c:showSerName val="0"/>
          <c:showPercent val="0"/>
          <c:showBubbleSize val="0"/>
        </c:dLbls>
        <c:axId val="1873500336"/>
        <c:axId val="1"/>
      </c:scatterChart>
      <c:valAx>
        <c:axId val="187350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Aptos Narrow"/>
                <a:ea typeface="Aptos Narrow"/>
                <a:cs typeface="Aptos Narrow"/>
              </a:defRPr>
            </a:pPr>
            <a:endParaRPr lang="en-NG"/>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3500336"/>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Fastest</a:t>
            </a:r>
            <a:r>
              <a:rPr lang="en-US" baseline="0"/>
              <a:t> External Debt Growth 2020-2024</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Tables'!$B$30:$B$31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Tables'!$A$32:$A$42</c:f>
              <c:strCache>
                <c:ptCount val="10"/>
                <c:pt idx="0">
                  <c:v>Fiji</c:v>
                </c:pt>
                <c:pt idx="1">
                  <c:v>Togo</c:v>
                </c:pt>
                <c:pt idx="2">
                  <c:v>Benin</c:v>
                </c:pt>
                <c:pt idx="3">
                  <c:v>Philippines</c:v>
                </c:pt>
                <c:pt idx="4">
                  <c:v>India</c:v>
                </c:pt>
                <c:pt idx="5">
                  <c:v>Nigeria</c:v>
                </c:pt>
                <c:pt idx="6">
                  <c:v>Turkiye</c:v>
                </c:pt>
                <c:pt idx="7">
                  <c:v>Egypt, Arab Rep.</c:v>
                </c:pt>
                <c:pt idx="8">
                  <c:v>Kenya</c:v>
                </c:pt>
                <c:pt idx="9">
                  <c:v>Zimbabwe</c:v>
                </c:pt>
              </c:strCache>
            </c:strRef>
          </c:cat>
          <c:val>
            <c:numRef>
              <c:f>'Pivot Tables'!$B$32:$B$42</c:f>
              <c:numCache>
                <c:formatCode>0%</c:formatCode>
                <c:ptCount val="10"/>
                <c:pt idx="0">
                  <c:v>0.88972497132308503</c:v>
                </c:pt>
                <c:pt idx="1">
                  <c:v>0.67167100300673754</c:v>
                </c:pt>
                <c:pt idx="2">
                  <c:v>0.66303894986042999</c:v>
                </c:pt>
                <c:pt idx="3">
                  <c:v>0.39098825802353648</c:v>
                </c:pt>
                <c:pt idx="4">
                  <c:v>0.2681101715328405</c:v>
                </c:pt>
                <c:pt idx="5">
                  <c:v>0.24164953923299562</c:v>
                </c:pt>
                <c:pt idx="6">
                  <c:v>0.19964884531409541</c:v>
                </c:pt>
                <c:pt idx="7">
                  <c:v>0.1768087043725606</c:v>
                </c:pt>
                <c:pt idx="8">
                  <c:v>0.12744147059922581</c:v>
                </c:pt>
                <c:pt idx="9">
                  <c:v>0.10507574008108275</c:v>
                </c:pt>
              </c:numCache>
            </c:numRef>
          </c:val>
          <c:extLst>
            <c:ext xmlns:c16="http://schemas.microsoft.com/office/drawing/2014/chart" uri="{C3380CC4-5D6E-409C-BE32-E72D297353CC}">
              <c16:uniqueId val="{00000000-E828-4E3A-BB30-ECAF0CD06D52}"/>
            </c:ext>
          </c:extLst>
        </c:ser>
        <c:dLbls>
          <c:showLegendKey val="0"/>
          <c:showVal val="0"/>
          <c:showCatName val="0"/>
          <c:showSerName val="0"/>
          <c:showPercent val="0"/>
          <c:showBubbleSize val="0"/>
        </c:dLbls>
        <c:gapWidth val="219"/>
        <c:overlap val="-27"/>
        <c:axId val="1873502736"/>
        <c:axId val="1"/>
      </c:barChart>
      <c:catAx>
        <c:axId val="18735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
        <c:crosses val="autoZero"/>
        <c:auto val="0"/>
        <c:lblAlgn val="ctr"/>
        <c:lblOffset val="100"/>
        <c:noMultiLvlLbl val="0"/>
      </c:catAx>
      <c:valAx>
        <c:axId val="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35027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41158257279694E-2"/>
          <c:y val="0.1087616652085156"/>
          <c:w val="0.86523071214036384"/>
          <c:h val="0.72125801983085447"/>
        </c:manualLayout>
      </c:layout>
      <c:lineChart>
        <c:grouping val="standard"/>
        <c:varyColors val="0"/>
        <c:ser>
          <c:idx val="0"/>
          <c:order val="0"/>
          <c:tx>
            <c:strRef>
              <c:f>'Pivot Tables'!$K$53</c:f>
              <c:strCache>
                <c:ptCount val="1"/>
                <c:pt idx="0">
                  <c:v>Total</c:v>
                </c:pt>
              </c:strCache>
            </c:strRef>
          </c:tx>
          <c:spPr>
            <a:ln w="28575" cap="rnd">
              <a:solidFill>
                <a:schemeClr val="accent1"/>
              </a:solidFill>
              <a:round/>
            </a:ln>
            <a:effectLst/>
          </c:spPr>
          <c:marker>
            <c:symbol val="none"/>
          </c:marker>
          <c:dLbls>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Tables'!$J$54:$J$59</c:f>
              <c:strCache>
                <c:ptCount val="5"/>
                <c:pt idx="0">
                  <c:v>2020</c:v>
                </c:pt>
                <c:pt idx="1">
                  <c:v>2021</c:v>
                </c:pt>
                <c:pt idx="2">
                  <c:v>2022</c:v>
                </c:pt>
                <c:pt idx="3">
                  <c:v>2023</c:v>
                </c:pt>
                <c:pt idx="4">
                  <c:v>2024</c:v>
                </c:pt>
              </c:strCache>
            </c:strRef>
          </c:cat>
          <c:val>
            <c:numRef>
              <c:f>'Pivot Tables'!$K$54:$K$59</c:f>
              <c:numCache>
                <c:formatCode>General</c:formatCode>
                <c:ptCount val="5"/>
                <c:pt idx="0">
                  <c:v>5590070148480.4004</c:v>
                </c:pt>
                <c:pt idx="1">
                  <c:v>6088025823934.2988</c:v>
                </c:pt>
                <c:pt idx="2">
                  <c:v>5917450021033.5996</c:v>
                </c:pt>
                <c:pt idx="3">
                  <c:v>5965151508434.0996</c:v>
                </c:pt>
                <c:pt idx="4">
                  <c:v>6047288887376.9004</c:v>
                </c:pt>
              </c:numCache>
            </c:numRef>
          </c:val>
          <c:smooth val="0"/>
          <c:extLst>
            <c:ext xmlns:c16="http://schemas.microsoft.com/office/drawing/2014/chart" uri="{C3380CC4-5D6E-409C-BE32-E72D297353CC}">
              <c16:uniqueId val="{00000000-8943-4063-BE60-814AA99B715B}"/>
            </c:ext>
          </c:extLst>
        </c:ser>
        <c:dLbls>
          <c:dLblPos val="t"/>
          <c:showLegendKey val="0"/>
          <c:showVal val="1"/>
          <c:showCatName val="0"/>
          <c:showSerName val="0"/>
          <c:showPercent val="0"/>
          <c:showBubbleSize val="0"/>
        </c:dLbls>
        <c:smooth val="0"/>
        <c:axId val="750759168"/>
        <c:axId val="750762048"/>
      </c:lineChart>
      <c:catAx>
        <c:axId val="75075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0762048"/>
        <c:crosses val="autoZero"/>
        <c:auto val="1"/>
        <c:lblAlgn val="ctr"/>
        <c:lblOffset val="100"/>
        <c:noMultiLvlLbl val="0"/>
      </c:catAx>
      <c:valAx>
        <c:axId val="750762048"/>
        <c:scaling>
          <c:orientation val="minMax"/>
        </c:scaling>
        <c:delete val="0"/>
        <c:axPos val="l"/>
        <c:majorGridlines>
          <c:spPr>
            <a:ln w="9525" cap="flat" cmpd="sng" algn="ctr">
              <a:solidFill>
                <a:schemeClr val="tx1">
                  <a:lumMod val="15000"/>
                  <a:lumOff val="85000"/>
                </a:schemeClr>
              </a:solidFill>
              <a:round/>
            </a:ln>
            <a:effectLst/>
          </c:spPr>
        </c:majorGridlines>
        <c:numFmt formatCode="0.00,,,,&quot;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075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Tables'!$B$109</c:f>
              <c:strCache>
                <c:ptCount val="1"/>
                <c:pt idx="0">
                  <c:v>Total</c:v>
                </c:pt>
              </c:strCache>
            </c:strRef>
          </c:tx>
          <c:spPr>
            <a:ln w="28575" cap="rnd">
              <a:solidFill>
                <a:schemeClr val="accent1"/>
              </a:solidFill>
              <a:round/>
            </a:ln>
            <a:effectLst/>
          </c:spPr>
          <c:marker>
            <c:symbol val="none"/>
          </c:marker>
          <c:dLbls>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Tables'!$A$110:$A$115</c:f>
              <c:strCache>
                <c:ptCount val="5"/>
                <c:pt idx="0">
                  <c:v>2020</c:v>
                </c:pt>
                <c:pt idx="1">
                  <c:v>2021</c:v>
                </c:pt>
                <c:pt idx="2">
                  <c:v>2022</c:v>
                </c:pt>
                <c:pt idx="3">
                  <c:v>2023</c:v>
                </c:pt>
                <c:pt idx="4">
                  <c:v>2024</c:v>
                </c:pt>
              </c:strCache>
            </c:strRef>
          </c:cat>
          <c:val>
            <c:numRef>
              <c:f>'Pivot Tables'!$B$110:$B$115</c:f>
              <c:numCache>
                <c:formatCode>General</c:formatCode>
                <c:ptCount val="5"/>
                <c:pt idx="0">
                  <c:v>5590070148480.4004</c:v>
                </c:pt>
                <c:pt idx="1">
                  <c:v>6088025823934.2988</c:v>
                </c:pt>
                <c:pt idx="2">
                  <c:v>5917450021033.5996</c:v>
                </c:pt>
                <c:pt idx="3">
                  <c:v>5965151508434.0996</c:v>
                </c:pt>
                <c:pt idx="4">
                  <c:v>6047288887376.9004</c:v>
                </c:pt>
              </c:numCache>
            </c:numRef>
          </c:val>
          <c:smooth val="0"/>
          <c:extLst>
            <c:ext xmlns:c16="http://schemas.microsoft.com/office/drawing/2014/chart" uri="{C3380CC4-5D6E-409C-BE32-E72D297353CC}">
              <c16:uniqueId val="{00000000-E935-4200-BD9D-08C68BAA28E7}"/>
            </c:ext>
          </c:extLst>
        </c:ser>
        <c:dLbls>
          <c:dLblPos val="t"/>
          <c:showLegendKey val="0"/>
          <c:showVal val="1"/>
          <c:showCatName val="0"/>
          <c:showSerName val="0"/>
          <c:showPercent val="0"/>
          <c:showBubbleSize val="0"/>
        </c:dLbls>
        <c:smooth val="0"/>
        <c:axId val="750810048"/>
        <c:axId val="750833568"/>
      </c:lineChart>
      <c:catAx>
        <c:axId val="75081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0833568"/>
        <c:crosses val="autoZero"/>
        <c:auto val="1"/>
        <c:lblAlgn val="ctr"/>
        <c:lblOffset val="100"/>
        <c:noMultiLvlLbl val="0"/>
      </c:catAx>
      <c:valAx>
        <c:axId val="750833568"/>
        <c:scaling>
          <c:orientation val="minMax"/>
          <c:min val="5500000000000"/>
        </c:scaling>
        <c:delete val="0"/>
        <c:axPos val="l"/>
        <c:majorGridlines>
          <c:spPr>
            <a:ln w="9525" cap="flat" cmpd="sng" algn="ctr">
              <a:solidFill>
                <a:schemeClr val="tx1">
                  <a:lumMod val="15000"/>
                  <a:lumOff val="85000"/>
                </a:schemeClr>
              </a:solidFill>
              <a:round/>
            </a:ln>
            <a:effectLst/>
          </c:spPr>
        </c:majorGridlines>
        <c:numFmt formatCode="0.00,,,,&quot;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08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Tables!PivotTable11</c:name>
    <c:fmtId val="0"/>
  </c:pivotSource>
  <c:chart>
    <c:title>
      <c:tx>
        <c:rich>
          <a:bodyPr rot="0" vert="horz"/>
          <a:lstStyle/>
          <a:p>
            <a:pPr>
              <a:defRPr sz="2400"/>
            </a:pPr>
            <a:r>
              <a:rPr lang="en-US" sz="2400" b="0"/>
              <a:t>External</a:t>
            </a:r>
            <a:r>
              <a:rPr lang="en-US" sz="2400"/>
              <a:t> </a:t>
            </a:r>
            <a:r>
              <a:rPr lang="en-US" sz="2400" b="0"/>
              <a:t>Debt by Country 2024</a:t>
            </a:r>
          </a:p>
        </c:rich>
      </c:tx>
      <c:layout>
        <c:manualLayout>
          <c:xMode val="edge"/>
          <c:yMode val="edge"/>
          <c:x val="0.30311060732953798"/>
          <c:y val="5.7321873689486477E-2"/>
        </c:manualLayout>
      </c:layout>
      <c:overlay val="0"/>
      <c:spPr>
        <a:noFill/>
        <a:ln w="25400">
          <a:noFill/>
        </a:ln>
      </c:spPr>
    </c:title>
    <c:autoTitleDeleted val="0"/>
    <c:pivotFmts>
      <c:pivotFmt>
        <c:idx val="0"/>
        <c:spPr>
          <a:solidFill>
            <a:srgbClr val="003399"/>
          </a:solidFill>
          <a:ln w="25400">
            <a:noFill/>
          </a:ln>
        </c:spPr>
        <c:marker>
          <c:symbol val="none"/>
        </c:marker>
        <c:dLbl>
          <c:idx val="0"/>
          <c:numFmt formatCode="0.00,,,,&quot;T&quot;" sourceLinked="0"/>
          <c:spPr>
            <a:noFill/>
            <a:ln w="25400">
              <a:noFill/>
            </a:ln>
          </c:spPr>
          <c:txPr>
            <a:bodyPr/>
            <a:lstStyle/>
            <a:p>
              <a:pPr>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00"/>
          </a:solidFill>
          <a:ln w="25400">
            <a:noFill/>
          </a:ln>
        </c:spPr>
      </c:pivotFmt>
    </c:pivotFmts>
    <c:plotArea>
      <c:layout>
        <c:manualLayout>
          <c:layoutTarget val="inner"/>
          <c:xMode val="edge"/>
          <c:yMode val="edge"/>
          <c:x val="0.13144965003514122"/>
          <c:y val="0.15665183713592368"/>
          <c:w val="0.83886400442279951"/>
          <c:h val="0.73121309055118111"/>
        </c:manualLayout>
      </c:layout>
      <c:barChart>
        <c:barDir val="bar"/>
        <c:grouping val="clustered"/>
        <c:varyColors val="0"/>
        <c:ser>
          <c:idx val="0"/>
          <c:order val="0"/>
          <c:tx>
            <c:strRef>
              <c:f>'Pivot Tables'!$B$1:$B$2</c:f>
              <c:strCache>
                <c:ptCount val="1"/>
                <c:pt idx="0">
                  <c:v>Total</c:v>
                </c:pt>
              </c:strCache>
            </c:strRef>
          </c:tx>
          <c:spPr>
            <a:solidFill>
              <a:srgbClr val="003399"/>
            </a:solidFill>
            <a:ln w="25400">
              <a:noFill/>
            </a:ln>
          </c:spPr>
          <c:invertIfNegative val="0"/>
          <c:dPt>
            <c:idx val="0"/>
            <c:invertIfNegative val="0"/>
            <c:bubble3D val="0"/>
            <c:spPr>
              <a:solidFill>
                <a:srgbClr val="CC9900"/>
              </a:solidFill>
              <a:ln w="25400">
                <a:noFill/>
              </a:ln>
            </c:spPr>
            <c:extLst>
              <c:ext xmlns:c16="http://schemas.microsoft.com/office/drawing/2014/chart" uri="{C3380CC4-5D6E-409C-BE32-E72D297353CC}">
                <c16:uniqueId val="{00000000-6589-487B-8748-578F9D57227B}"/>
              </c:ext>
            </c:extLst>
          </c:dPt>
          <c:dLbls>
            <c:numFmt formatCode="0.00,,,,&quot;T&quot;" sourceLinked="0"/>
            <c:spPr>
              <a:noFill/>
              <a:ln w="25400">
                <a:noFill/>
              </a:ln>
            </c:spPr>
            <c:txPr>
              <a:bodyPr/>
              <a:lstStyle/>
              <a:p>
                <a:pPr>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Tables'!$A$3:$A$13</c:f>
              <c:strCache>
                <c:ptCount val="10"/>
                <c:pt idx="0">
                  <c:v>China</c:v>
                </c:pt>
                <c:pt idx="1">
                  <c:v>India</c:v>
                </c:pt>
                <c:pt idx="2">
                  <c:v>Brazil</c:v>
                </c:pt>
                <c:pt idx="3">
                  <c:v>Mexico</c:v>
                </c:pt>
                <c:pt idx="4">
                  <c:v>Turkiye</c:v>
                </c:pt>
                <c:pt idx="5">
                  <c:v>Indonesia</c:v>
                </c:pt>
                <c:pt idx="6">
                  <c:v>South Africa</c:v>
                </c:pt>
                <c:pt idx="7">
                  <c:v>Egypt, Arab Rep.</c:v>
                </c:pt>
                <c:pt idx="8">
                  <c:v>Philippines</c:v>
                </c:pt>
                <c:pt idx="9">
                  <c:v>Nigeria</c:v>
                </c:pt>
              </c:strCache>
            </c:strRef>
          </c:cat>
          <c:val>
            <c:numRef>
              <c:f>'Pivot Tables'!$B$3:$B$13</c:f>
              <c:numCache>
                <c:formatCode>General</c:formatCode>
                <c:ptCount val="10"/>
                <c:pt idx="0">
                  <c:v>2419835436491.7998</c:v>
                </c:pt>
                <c:pt idx="1">
                  <c:v>716456023890.40002</c:v>
                </c:pt>
                <c:pt idx="2">
                  <c:v>605463780812.80005</c:v>
                </c:pt>
                <c:pt idx="3">
                  <c:v>591255026725</c:v>
                </c:pt>
                <c:pt idx="4">
                  <c:v>514989218110.79999</c:v>
                </c:pt>
                <c:pt idx="5">
                  <c:v>421059208493.79999</c:v>
                </c:pt>
                <c:pt idx="6">
                  <c:v>175895546993.5</c:v>
                </c:pt>
                <c:pt idx="7">
                  <c:v>155972716013.20001</c:v>
                </c:pt>
                <c:pt idx="8">
                  <c:v>137018240525.2</c:v>
                </c:pt>
                <c:pt idx="9">
                  <c:v>108757630161.5</c:v>
                </c:pt>
              </c:numCache>
            </c:numRef>
          </c:val>
          <c:extLst>
            <c:ext xmlns:c16="http://schemas.microsoft.com/office/drawing/2014/chart" uri="{C3380CC4-5D6E-409C-BE32-E72D297353CC}">
              <c16:uniqueId val="{00000000-9061-4087-B798-A14E9A7C12C4}"/>
            </c:ext>
          </c:extLst>
        </c:ser>
        <c:dLbls>
          <c:showLegendKey val="0"/>
          <c:showVal val="0"/>
          <c:showCatName val="0"/>
          <c:showSerName val="0"/>
          <c:showPercent val="0"/>
          <c:showBubbleSize val="0"/>
        </c:dLbls>
        <c:gapWidth val="182"/>
        <c:axId val="1873490736"/>
        <c:axId val="1"/>
      </c:barChart>
      <c:catAx>
        <c:axId val="1873490736"/>
        <c:scaling>
          <c:orientation val="minMax"/>
        </c:scaling>
        <c:delete val="0"/>
        <c:axPos val="l"/>
        <c:numFmt formatCode="General" sourceLinked="1"/>
        <c:majorTickMark val="none"/>
        <c:minorTickMark val="none"/>
        <c:tickLblPos val="nextTo"/>
        <c:spPr>
          <a:ln w="12700">
            <a:noFill/>
          </a:ln>
        </c:spPr>
        <c:txPr>
          <a:bodyPr rot="0" vert="horz"/>
          <a:lstStyle/>
          <a:p>
            <a:pPr>
              <a:defRPr/>
            </a:pPr>
            <a:endParaRPr lang="en-NG"/>
          </a:p>
        </c:txPr>
        <c:crossAx val="1"/>
        <c:crosses val="autoZero"/>
        <c:auto val="0"/>
        <c:lblAlgn val="ctr"/>
        <c:lblOffset val="100"/>
        <c:noMultiLvlLbl val="0"/>
      </c:catAx>
      <c:valAx>
        <c:axId val="1"/>
        <c:scaling>
          <c:orientation val="minMax"/>
          <c:max val="2500000000000"/>
        </c:scaling>
        <c:delete val="0"/>
        <c:axPos val="b"/>
        <c:numFmt formatCode="0.00,,,,&quot;T&quot;" sourceLinked="0"/>
        <c:majorTickMark val="none"/>
        <c:minorTickMark val="none"/>
        <c:tickLblPos val="nextTo"/>
        <c:spPr>
          <a:ln w="12700">
            <a:noFill/>
          </a:ln>
        </c:spPr>
        <c:txPr>
          <a:bodyPr rot="-60000000" vert="horz"/>
          <a:lstStyle/>
          <a:p>
            <a:pPr>
              <a:defRPr/>
            </a:pPr>
            <a:endParaRPr lang="en-NG"/>
          </a:p>
        </c:txPr>
        <c:crossAx val="1873490736"/>
        <c:crosses val="autoZero"/>
        <c:crossBetween val="between"/>
      </c:valAx>
      <c:spPr>
        <a:solidFill>
          <a:schemeClr val="bg2">
            <a:lumMod val="90000"/>
          </a:schemeClr>
        </a:solidFill>
        <a:ln w="25400">
          <a:noFill/>
        </a:ln>
      </c:spPr>
    </c:plotArea>
    <c:plotVisOnly val="1"/>
    <c:dispBlanksAs val="gap"/>
    <c:showDLblsOverMax val="0"/>
  </c:chart>
  <c:spPr>
    <a:solidFill>
      <a:schemeClr val="bg2">
        <a:lumMod val="90000"/>
      </a:schemeClr>
    </a:solidFill>
    <a:ln>
      <a:solidFill>
        <a:schemeClr val="lt1">
          <a:shade val="50000"/>
        </a:schemeClr>
      </a:solidFill>
    </a:ln>
    <a:effectLst/>
  </c:spPr>
  <c:txPr>
    <a:bodyPr/>
    <a:lstStyle/>
    <a:p>
      <a:pPr>
        <a:defRPr sz="18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Tables!PivotTable2</c:name>
    <c:fmtId val="0"/>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US" sz="2400">
                <a:solidFill>
                  <a:schemeClr val="tx1"/>
                </a:solidFill>
              </a:rPr>
              <a:t>Fastest</a:t>
            </a:r>
            <a:r>
              <a:rPr lang="en-US" sz="2400" baseline="0">
                <a:solidFill>
                  <a:schemeClr val="tx1"/>
                </a:solidFill>
              </a:rPr>
              <a:t> External Debt Growth 2020-2024</a:t>
            </a:r>
            <a:endParaRPr lang="en-US" sz="2400">
              <a:solidFill>
                <a:schemeClr val="tx1"/>
              </a:solidFill>
            </a:endParaRPr>
          </a:p>
        </c:rich>
      </c:tx>
      <c:layout>
        <c:manualLayout>
          <c:xMode val="edge"/>
          <c:yMode val="edge"/>
          <c:x val="0.29013964765229444"/>
          <c:y val="9.5496835445417535E-3"/>
        </c:manualLayout>
      </c:layout>
      <c:overlay val="0"/>
      <c:spPr>
        <a:noFill/>
        <a:ln>
          <a:noFill/>
        </a:ln>
        <a:effectLst/>
      </c:spPr>
    </c:title>
    <c:autoTitleDeleted val="0"/>
    <c:pivotFmts>
      <c:pivotFmt>
        <c:idx val="0"/>
        <c:spPr>
          <a:solidFill>
            <a:srgbClr val="003399"/>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CC9900"/>
          </a:solidFill>
          <a:ln>
            <a:noFill/>
          </a:ln>
          <a:effectLst/>
        </c:spPr>
      </c:pivotFmt>
    </c:pivotFmts>
    <c:plotArea>
      <c:layout>
        <c:manualLayout>
          <c:layoutTarget val="inner"/>
          <c:xMode val="edge"/>
          <c:yMode val="edge"/>
          <c:x val="4.6291502270211733E-2"/>
          <c:y val="0.10067282291494924"/>
          <c:w val="0.94908654648563806"/>
          <c:h val="0.78502609620215857"/>
        </c:manualLayout>
      </c:layout>
      <c:barChart>
        <c:barDir val="col"/>
        <c:grouping val="clustered"/>
        <c:varyColors val="0"/>
        <c:ser>
          <c:idx val="0"/>
          <c:order val="0"/>
          <c:tx>
            <c:strRef>
              <c:f>'Pivot Tables'!$B$30:$B$31</c:f>
              <c:strCache>
                <c:ptCount val="1"/>
                <c:pt idx="0">
                  <c:v>Total</c:v>
                </c:pt>
              </c:strCache>
            </c:strRef>
          </c:tx>
          <c:spPr>
            <a:solidFill>
              <a:srgbClr val="003399"/>
            </a:solidFill>
            <a:ln>
              <a:noFill/>
            </a:ln>
            <a:effectLst/>
          </c:spPr>
          <c:invertIfNegative val="0"/>
          <c:dPt>
            <c:idx val="0"/>
            <c:invertIfNegative val="0"/>
            <c:bubble3D val="0"/>
            <c:spPr>
              <a:solidFill>
                <a:srgbClr val="CC9900"/>
              </a:solidFill>
              <a:ln>
                <a:noFill/>
              </a:ln>
              <a:effectLst/>
            </c:spPr>
            <c:extLst>
              <c:ext xmlns:c16="http://schemas.microsoft.com/office/drawing/2014/chart" uri="{C3380CC4-5D6E-409C-BE32-E72D297353CC}">
                <c16:uniqueId val="{00000001-3AFF-4FA3-83CC-4B17C6CA1AA1}"/>
              </c:ext>
            </c:extLst>
          </c:dPt>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Tables'!$A$32:$A$42</c:f>
              <c:strCache>
                <c:ptCount val="10"/>
                <c:pt idx="0">
                  <c:v>Fiji</c:v>
                </c:pt>
                <c:pt idx="1">
                  <c:v>Togo</c:v>
                </c:pt>
                <c:pt idx="2">
                  <c:v>Benin</c:v>
                </c:pt>
                <c:pt idx="3">
                  <c:v>Philippines</c:v>
                </c:pt>
                <c:pt idx="4">
                  <c:v>India</c:v>
                </c:pt>
                <c:pt idx="5">
                  <c:v>Nigeria</c:v>
                </c:pt>
                <c:pt idx="6">
                  <c:v>Turkiye</c:v>
                </c:pt>
                <c:pt idx="7">
                  <c:v>Egypt, Arab Rep.</c:v>
                </c:pt>
                <c:pt idx="8">
                  <c:v>Kenya</c:v>
                </c:pt>
                <c:pt idx="9">
                  <c:v>Zimbabwe</c:v>
                </c:pt>
              </c:strCache>
            </c:strRef>
          </c:cat>
          <c:val>
            <c:numRef>
              <c:f>'Pivot Tables'!$B$32:$B$42</c:f>
              <c:numCache>
                <c:formatCode>0%</c:formatCode>
                <c:ptCount val="10"/>
                <c:pt idx="0">
                  <c:v>0.88972497132308503</c:v>
                </c:pt>
                <c:pt idx="1">
                  <c:v>0.67167100300673754</c:v>
                </c:pt>
                <c:pt idx="2">
                  <c:v>0.66303894986042999</c:v>
                </c:pt>
                <c:pt idx="3">
                  <c:v>0.39098825802353648</c:v>
                </c:pt>
                <c:pt idx="4">
                  <c:v>0.2681101715328405</c:v>
                </c:pt>
                <c:pt idx="5">
                  <c:v>0.24164953923299562</c:v>
                </c:pt>
                <c:pt idx="6">
                  <c:v>0.19964884531409541</c:v>
                </c:pt>
                <c:pt idx="7">
                  <c:v>0.1768087043725606</c:v>
                </c:pt>
                <c:pt idx="8">
                  <c:v>0.12744147059922581</c:v>
                </c:pt>
                <c:pt idx="9">
                  <c:v>0.10507574008108275</c:v>
                </c:pt>
              </c:numCache>
            </c:numRef>
          </c:val>
          <c:extLst>
            <c:ext xmlns:c16="http://schemas.microsoft.com/office/drawing/2014/chart" uri="{C3380CC4-5D6E-409C-BE32-E72D297353CC}">
              <c16:uniqueId val="{00000000-C602-41D8-AD61-7989E1A74443}"/>
            </c:ext>
          </c:extLst>
        </c:ser>
        <c:dLbls>
          <c:showLegendKey val="0"/>
          <c:showVal val="0"/>
          <c:showCatName val="0"/>
          <c:showSerName val="0"/>
          <c:showPercent val="0"/>
          <c:showBubbleSize val="0"/>
        </c:dLbls>
        <c:gapWidth val="219"/>
        <c:overlap val="-27"/>
        <c:axId val="1873463856"/>
        <c:axId val="1"/>
      </c:barChart>
      <c:catAx>
        <c:axId val="187346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crossAx val="1"/>
        <c:crosses val="autoZero"/>
        <c:auto val="0"/>
        <c:lblAlgn val="ctr"/>
        <c:lblOffset val="100"/>
        <c:noMultiLvlLbl val="0"/>
      </c:catAx>
      <c:valAx>
        <c:axId val="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crossAx val="1873463856"/>
        <c:crosses val="autoZero"/>
        <c:crossBetween val="between"/>
      </c:valAx>
      <c:spPr>
        <a:solidFill>
          <a:schemeClr val="bg2">
            <a:lumMod val="90000"/>
          </a:schemeClr>
        </a:solidFill>
        <a:ln w="25400">
          <a:noFill/>
        </a:ln>
      </c:spPr>
    </c:plotArea>
    <c:plotVisOnly val="1"/>
    <c:dispBlanksAs val="gap"/>
    <c:showDLblsOverMax val="0"/>
  </c:chart>
  <c:spPr>
    <a:solidFill>
      <a:schemeClr val="bg2">
        <a:lumMod val="90000"/>
      </a:schemeClr>
    </a:solidFill>
    <a:ln>
      <a:solidFill>
        <a:schemeClr val="lt1">
          <a:shade val="50000"/>
        </a:schemeClr>
      </a:solid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[PORTFOLIO.xlsx]Pivot Tables!PivotTable6</c:name>
    <c:fmtId val="10"/>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US" sz="2400">
                <a:solidFill>
                  <a:schemeClr val="tx1"/>
                </a:solidFill>
              </a:rPr>
              <a:t>Debt</a:t>
            </a:r>
            <a:r>
              <a:rPr lang="en-US" sz="2400" baseline="0">
                <a:solidFill>
                  <a:schemeClr val="tx1"/>
                </a:solidFill>
              </a:rPr>
              <a:t> Trajectory</a:t>
            </a:r>
            <a:endParaRPr lang="en-US" sz="2400">
              <a:solidFill>
                <a:schemeClr val="tx1"/>
              </a:solidFill>
            </a:endParaRPr>
          </a:p>
        </c:rich>
      </c:tx>
      <c:layout>
        <c:manualLayout>
          <c:xMode val="edge"/>
          <c:yMode val="edge"/>
          <c:x val="0.46696963754862825"/>
          <c:y val="3.0769230769230771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0,,,,&quot;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rgbClr val="003399"/>
            </a:solidFill>
            <a:prstDash val="solid"/>
            <a:round/>
          </a:ln>
          <a:effectLst/>
        </c:spPr>
        <c:marker>
          <c:symbol val="none"/>
        </c:marker>
        <c:dLbl>
          <c:idx val="0"/>
          <c:numFmt formatCode="0.00,,,,&quot;T&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CC9900"/>
            </a:solidFill>
            <a:prstDash val="solid"/>
            <a:round/>
          </a:ln>
          <a:effectLst/>
        </c:spPr>
        <c:marker>
          <c:symbol val="none"/>
        </c:marker>
      </c:pivotFmt>
      <c:pivotFmt>
        <c:idx val="4"/>
        <c:spPr>
          <a:ln w="38100" cap="rnd">
            <a:solidFill>
              <a:srgbClr val="003399"/>
            </a:solidFill>
            <a:prstDash val="solid"/>
            <a:round/>
          </a:ln>
          <a:effectLst/>
        </c:spPr>
        <c:marker>
          <c:symbol val="none"/>
        </c:marker>
      </c:pivotFmt>
      <c:pivotFmt>
        <c:idx val="5"/>
        <c:spPr>
          <a:ln w="50800" cap="rnd">
            <a:solidFill>
              <a:srgbClr val="003399"/>
            </a:solidFill>
            <a:prstDash val="solid"/>
            <a:round/>
          </a:ln>
          <a:effectLst/>
        </c:spPr>
        <c:marker>
          <c:symbol val="none"/>
        </c:marker>
      </c:pivotFmt>
    </c:pivotFmts>
    <c:plotArea>
      <c:layout>
        <c:manualLayout>
          <c:layoutTarget val="inner"/>
          <c:xMode val="edge"/>
          <c:yMode val="edge"/>
          <c:x val="4.5302521575883631E-2"/>
          <c:y val="0.10765449071769324"/>
          <c:w val="0.94920862765224678"/>
          <c:h val="0.7906739949750009"/>
        </c:manualLayout>
      </c:layout>
      <c:lineChart>
        <c:grouping val="standard"/>
        <c:varyColors val="0"/>
        <c:ser>
          <c:idx val="0"/>
          <c:order val="0"/>
          <c:tx>
            <c:strRef>
              <c:f>'Pivot Tables'!$B$109</c:f>
              <c:strCache>
                <c:ptCount val="1"/>
                <c:pt idx="0">
                  <c:v>Total</c:v>
                </c:pt>
              </c:strCache>
            </c:strRef>
          </c:tx>
          <c:spPr>
            <a:ln w="38100" cap="rnd">
              <a:solidFill>
                <a:srgbClr val="003399"/>
              </a:solidFill>
              <a:prstDash val="solid"/>
              <a:round/>
            </a:ln>
            <a:effectLst/>
          </c:spPr>
          <c:marker>
            <c:symbol val="none"/>
          </c:marker>
          <c:dPt>
            <c:idx val="1"/>
            <c:marker>
              <c:symbol val="none"/>
            </c:marker>
            <c:bubble3D val="0"/>
            <c:spPr>
              <a:ln w="38100" cap="rnd">
                <a:solidFill>
                  <a:srgbClr val="CC9900"/>
                </a:solidFill>
                <a:prstDash val="solid"/>
                <a:round/>
              </a:ln>
              <a:effectLst/>
            </c:spPr>
            <c:extLst>
              <c:ext xmlns:c16="http://schemas.microsoft.com/office/drawing/2014/chart" uri="{C3380CC4-5D6E-409C-BE32-E72D297353CC}">
                <c16:uniqueId val="{00000000-4E93-4B90-927E-A3A6C6971EDC}"/>
              </c:ext>
            </c:extLst>
          </c:dPt>
          <c:dPt>
            <c:idx val="4"/>
            <c:marker>
              <c:symbol val="none"/>
            </c:marker>
            <c:bubble3D val="0"/>
            <c:spPr>
              <a:ln w="50800" cap="rnd">
                <a:solidFill>
                  <a:srgbClr val="003399"/>
                </a:solidFill>
                <a:prstDash val="solid"/>
                <a:round/>
              </a:ln>
              <a:effectLst/>
            </c:spPr>
            <c:extLst>
              <c:ext xmlns:c16="http://schemas.microsoft.com/office/drawing/2014/chart" uri="{C3380CC4-5D6E-409C-BE32-E72D297353CC}">
                <c16:uniqueId val="{00000002-4E93-4B90-927E-A3A6C6971EDC}"/>
              </c:ext>
            </c:extLst>
          </c:dPt>
          <c:dLbls>
            <c:numFmt formatCode="0.00,,,,&quot;T&quot;"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Tables'!$A$110:$A$115</c:f>
              <c:strCache>
                <c:ptCount val="5"/>
                <c:pt idx="0">
                  <c:v>2020</c:v>
                </c:pt>
                <c:pt idx="1">
                  <c:v>2021</c:v>
                </c:pt>
                <c:pt idx="2">
                  <c:v>2022</c:v>
                </c:pt>
                <c:pt idx="3">
                  <c:v>2023</c:v>
                </c:pt>
                <c:pt idx="4">
                  <c:v>2024</c:v>
                </c:pt>
              </c:strCache>
            </c:strRef>
          </c:cat>
          <c:val>
            <c:numRef>
              <c:f>'Pivot Tables'!$B$110:$B$115</c:f>
              <c:numCache>
                <c:formatCode>General</c:formatCode>
                <c:ptCount val="5"/>
                <c:pt idx="0">
                  <c:v>5590070148480.4004</c:v>
                </c:pt>
                <c:pt idx="1">
                  <c:v>6088025823934.2988</c:v>
                </c:pt>
                <c:pt idx="2">
                  <c:v>5917450021033.5996</c:v>
                </c:pt>
                <c:pt idx="3">
                  <c:v>5965151508434.0996</c:v>
                </c:pt>
                <c:pt idx="4">
                  <c:v>6047288887376.9004</c:v>
                </c:pt>
              </c:numCache>
            </c:numRef>
          </c:val>
          <c:smooth val="1"/>
          <c:extLst>
            <c:ext xmlns:c16="http://schemas.microsoft.com/office/drawing/2014/chart" uri="{C3380CC4-5D6E-409C-BE32-E72D297353CC}">
              <c16:uniqueId val="{00000000-FB59-4E9D-9633-BBE913D8023A}"/>
            </c:ext>
          </c:extLst>
        </c:ser>
        <c:dLbls>
          <c:dLblPos val="t"/>
          <c:showLegendKey val="0"/>
          <c:showVal val="1"/>
          <c:showCatName val="0"/>
          <c:showSerName val="0"/>
          <c:showPercent val="0"/>
          <c:showBubbleSize val="0"/>
        </c:dLbls>
        <c:smooth val="0"/>
        <c:axId val="750810048"/>
        <c:axId val="750833568"/>
      </c:lineChart>
      <c:catAx>
        <c:axId val="75081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crossAx val="750833568"/>
        <c:crosses val="autoZero"/>
        <c:auto val="1"/>
        <c:lblAlgn val="ctr"/>
        <c:lblOffset val="100"/>
        <c:noMultiLvlLbl val="0"/>
      </c:catAx>
      <c:valAx>
        <c:axId val="750833568"/>
        <c:scaling>
          <c:orientation val="minMax"/>
          <c:min val="5500000000000"/>
        </c:scaling>
        <c:delete val="0"/>
        <c:axPos val="l"/>
        <c:majorGridlines>
          <c:spPr>
            <a:ln w="9525" cap="flat" cmpd="sng" algn="ctr">
              <a:solidFill>
                <a:schemeClr val="bg2">
                  <a:lumMod val="75000"/>
                  <a:alpha val="65000"/>
                </a:schemeClr>
              </a:solidFill>
              <a:round/>
            </a:ln>
            <a:effectLst/>
          </c:spPr>
        </c:majorGridlines>
        <c:numFmt formatCode="0.00,,,,&quot;T&quot;"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crossAx val="750810048"/>
        <c:crosses val="autoZero"/>
        <c:crossBetween val="between"/>
      </c:valAx>
      <c:spPr>
        <a:noFill/>
        <a:ln>
          <a:solidFill>
            <a:schemeClr val="lt1">
              <a:shade val="50000"/>
            </a:schemeClr>
          </a:solidFill>
          <a:prstDash val="sys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8.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5" Type="http://schemas.microsoft.com/office/2007/relationships/hdphoto" Target="../media/hdphoto1.wdp"/><Relationship Id="rId10" Type="http://schemas.openxmlformats.org/officeDocument/2006/relationships/image" Target="../media/image6.png"/><Relationship Id="rId4" Type="http://schemas.openxmlformats.org/officeDocument/2006/relationships/image" Target="../media/image1.png"/><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3</xdr:col>
      <xdr:colOff>95250</xdr:colOff>
      <xdr:row>1</xdr:row>
      <xdr:rowOff>69850</xdr:rowOff>
    </xdr:from>
    <xdr:to>
      <xdr:col>10</xdr:col>
      <xdr:colOff>400050</xdr:colOff>
      <xdr:row>16</xdr:row>
      <xdr:rowOff>50800</xdr:rowOff>
    </xdr:to>
    <xdr:graphicFrame macro="">
      <xdr:nvGraphicFramePr>
        <xdr:cNvPr id="129103" name="Chart 1">
          <a:extLst>
            <a:ext uri="{FF2B5EF4-FFF2-40B4-BE49-F238E27FC236}">
              <a16:creationId xmlns:a16="http://schemas.microsoft.com/office/drawing/2014/main" id="{ECE5951E-314D-2DF6-53AA-6DC7D8214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30</xdr:row>
      <xdr:rowOff>0</xdr:rowOff>
    </xdr:from>
    <xdr:to>
      <xdr:col>24</xdr:col>
      <xdr:colOff>88900</xdr:colOff>
      <xdr:row>44</xdr:row>
      <xdr:rowOff>165100</xdr:rowOff>
    </xdr:to>
    <xdr:graphicFrame macro="">
      <xdr:nvGraphicFramePr>
        <xdr:cNvPr id="129105" name="Chart 4">
          <a:extLst>
            <a:ext uri="{FF2B5EF4-FFF2-40B4-BE49-F238E27FC236}">
              <a16:creationId xmlns:a16="http://schemas.microsoft.com/office/drawing/2014/main" id="{0F9E627E-20DE-0250-56C5-39B4F260E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444500</xdr:colOff>
      <xdr:row>26</xdr:row>
      <xdr:rowOff>165100</xdr:rowOff>
    </xdr:from>
    <xdr:to>
      <xdr:col>10</xdr:col>
      <xdr:colOff>139700</xdr:colOff>
      <xdr:row>41</xdr:row>
      <xdr:rowOff>171450</xdr:rowOff>
    </xdr:to>
    <xdr:graphicFrame macro="">
      <xdr:nvGraphicFramePr>
        <xdr:cNvPr id="129106" name="Chart 2">
          <a:extLst>
            <a:ext uri="{FF2B5EF4-FFF2-40B4-BE49-F238E27FC236}">
              <a16:creationId xmlns:a16="http://schemas.microsoft.com/office/drawing/2014/main" id="{F195D8F9-00D1-FDC3-0AB4-FB6E33AF9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234950</xdr:colOff>
      <xdr:row>24</xdr:row>
      <xdr:rowOff>19050</xdr:rowOff>
    </xdr:from>
    <xdr:to>
      <xdr:col>8</xdr:col>
      <xdr:colOff>234950</xdr:colOff>
      <xdr:row>38</xdr:row>
      <xdr:rowOff>60322</xdr:rowOff>
    </xdr:to>
    <mc:AlternateContent xmlns:mc="http://schemas.openxmlformats.org/markup-compatibility/2006" xmlns:a14="http://schemas.microsoft.com/office/drawing/2010/main">
      <mc:Choice Requires="a14">
        <xdr:graphicFrame macro="">
          <xdr:nvGraphicFramePr>
            <xdr:cNvPr id="2" name="Country Name">
              <a:extLst>
                <a:ext uri="{FF2B5EF4-FFF2-40B4-BE49-F238E27FC236}">
                  <a16:creationId xmlns:a16="http://schemas.microsoft.com/office/drawing/2014/main" id="{06F80A47-8029-589C-8C91-C10EC2823B92}"/>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4464050" y="4438650"/>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15</xdr:row>
      <xdr:rowOff>19050</xdr:rowOff>
    </xdr:from>
    <xdr:to>
      <xdr:col>6</xdr:col>
      <xdr:colOff>241300</xdr:colOff>
      <xdr:row>29</xdr:row>
      <xdr:rowOff>60322</xdr:rowOff>
    </xdr:to>
    <mc:AlternateContent xmlns:mc="http://schemas.openxmlformats.org/markup-compatibility/2006" xmlns:a14="http://schemas.microsoft.com/office/drawing/2010/main">
      <mc:Choice Requires="a14">
        <xdr:graphicFrame macro="">
          <xdr:nvGraphicFramePr>
            <xdr:cNvPr id="4" name="% Change">
              <a:extLst>
                <a:ext uri="{FF2B5EF4-FFF2-40B4-BE49-F238E27FC236}">
                  <a16:creationId xmlns:a16="http://schemas.microsoft.com/office/drawing/2014/main" id="{BA63BD00-DA03-7133-1DCF-9173991AE383}"/>
                </a:ext>
              </a:extLst>
            </xdr:cNvPr>
            <xdr:cNvGraphicFramePr/>
          </xdr:nvGraphicFramePr>
          <xdr:xfrm>
            <a:off x="0" y="0"/>
            <a:ext cx="0" cy="0"/>
          </xdr:xfrm>
          <a:graphic>
            <a:graphicData uri="http://schemas.microsoft.com/office/drawing/2010/slicer">
              <sle:slicer xmlns:sle="http://schemas.microsoft.com/office/drawing/2010/slicer" name="% Change"/>
            </a:graphicData>
          </a:graphic>
        </xdr:graphicFrame>
      </mc:Choice>
      <mc:Fallback xmlns="">
        <xdr:sp macro="" textlink="">
          <xdr:nvSpPr>
            <xdr:cNvPr id="0" name=""/>
            <xdr:cNvSpPr>
              <a:spLocks noTextEdit="1"/>
            </xdr:cNvSpPr>
          </xdr:nvSpPr>
          <xdr:spPr>
            <a:xfrm>
              <a:off x="3251200" y="2781300"/>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127000</xdr:colOff>
      <xdr:row>54</xdr:row>
      <xdr:rowOff>155575</xdr:rowOff>
    </xdr:from>
    <xdr:to>
      <xdr:col>15</xdr:col>
      <xdr:colOff>95250</xdr:colOff>
      <xdr:row>69</xdr:row>
      <xdr:rowOff>136525</xdr:rowOff>
    </xdr:to>
    <xdr:graphicFrame macro="">
      <xdr:nvGraphicFramePr>
        <xdr:cNvPr id="8" name="Chart 7">
          <a:extLst>
            <a:ext uri="{FF2B5EF4-FFF2-40B4-BE49-F238E27FC236}">
              <a16:creationId xmlns:a16="http://schemas.microsoft.com/office/drawing/2014/main" id="{142FCB80-4ED6-78D2-DFE0-240A0A3F0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146050</xdr:colOff>
      <xdr:row>54</xdr:row>
      <xdr:rowOff>38100</xdr:rowOff>
    </xdr:from>
    <xdr:to>
      <xdr:col>17</xdr:col>
      <xdr:colOff>812800</xdr:colOff>
      <xdr:row>64</xdr:row>
      <xdr:rowOff>38100</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2EC2C9B3-FA38-23A7-B42C-72E1B639902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8200" y="9982200"/>
              <a:ext cx="1828800" cy="1841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111</xdr:row>
      <xdr:rowOff>19050</xdr:rowOff>
    </xdr:from>
    <xdr:to>
      <xdr:col>2</xdr:col>
      <xdr:colOff>260350</xdr:colOff>
      <xdr:row>125</xdr:row>
      <xdr:rowOff>60322</xdr:rowOff>
    </xdr:to>
    <mc:AlternateContent xmlns:mc="http://schemas.openxmlformats.org/markup-compatibility/2006" xmlns:a14="http://schemas.microsoft.com/office/drawing/2010/main">
      <mc:Choice Requires="a14">
        <xdr:graphicFrame macro="">
          <xdr:nvGraphicFramePr>
            <xdr:cNvPr id="13" name="Year 3">
              <a:extLst>
                <a:ext uri="{FF2B5EF4-FFF2-40B4-BE49-F238E27FC236}">
                  <a16:creationId xmlns:a16="http://schemas.microsoft.com/office/drawing/2014/main" id="{AD2766C7-D36C-E524-A589-78633870A82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0" y="20459700"/>
              <a:ext cx="1828800" cy="2619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603250</xdr:colOff>
      <xdr:row>106</xdr:row>
      <xdr:rowOff>15875</xdr:rowOff>
    </xdr:from>
    <xdr:to>
      <xdr:col>9</xdr:col>
      <xdr:colOff>647700</xdr:colOff>
      <xdr:row>120</xdr:row>
      <xdr:rowOff>180975</xdr:rowOff>
    </xdr:to>
    <xdr:graphicFrame macro="">
      <xdr:nvGraphicFramePr>
        <xdr:cNvPr id="14" name="Chart 13">
          <a:extLst>
            <a:ext uri="{FF2B5EF4-FFF2-40B4-BE49-F238E27FC236}">
              <a16:creationId xmlns:a16="http://schemas.microsoft.com/office/drawing/2014/main" id="{81612F59-6C69-0621-3C4A-6601CBF71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634999</xdr:colOff>
      <xdr:row>72</xdr:row>
      <xdr:rowOff>0</xdr:rowOff>
    </xdr:from>
    <xdr:to>
      <xdr:col>7</xdr:col>
      <xdr:colOff>465665</xdr:colOff>
      <xdr:row>85</xdr:row>
      <xdr:rowOff>169332</xdr:rowOff>
    </xdr:to>
    <mc:AlternateContent xmlns:mc="http://schemas.openxmlformats.org/markup-compatibility/2006">
      <mc:Choice xmlns:a14="http://schemas.microsoft.com/office/drawing/2010/main" Requires="a14">
        <xdr:graphicFrame macro="">
          <xdr:nvGraphicFramePr>
            <xdr:cNvPr id="22" name="Year 4">
              <a:extLst>
                <a:ext uri="{FF2B5EF4-FFF2-40B4-BE49-F238E27FC236}">
                  <a16:creationId xmlns:a16="http://schemas.microsoft.com/office/drawing/2014/main" id="{EA468253-0310-451E-8985-1F5BA52C546E}"/>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634999" y="13716000"/>
              <a:ext cx="4169833" cy="26458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254000</xdr:colOff>
      <xdr:row>13</xdr:row>
      <xdr:rowOff>105834</xdr:rowOff>
    </xdr:from>
    <xdr:to>
      <xdr:col>38</xdr:col>
      <xdr:colOff>21167</xdr:colOff>
      <xdr:row>47</xdr:row>
      <xdr:rowOff>127000</xdr:rowOff>
    </xdr:to>
    <xdr:graphicFrame macro="">
      <xdr:nvGraphicFramePr>
        <xdr:cNvPr id="245843" name="Chart 2">
          <a:extLst>
            <a:ext uri="{FF2B5EF4-FFF2-40B4-BE49-F238E27FC236}">
              <a16:creationId xmlns:a16="http://schemas.microsoft.com/office/drawing/2014/main" id="{2A0D6F99-B270-C942-BD9B-B3B0FE3C2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381000</xdr:colOff>
      <xdr:row>13</xdr:row>
      <xdr:rowOff>102913</xdr:rowOff>
    </xdr:from>
    <xdr:to>
      <xdr:col>63</xdr:col>
      <xdr:colOff>381000</xdr:colOff>
      <xdr:row>47</xdr:row>
      <xdr:rowOff>21167</xdr:rowOff>
    </xdr:to>
    <xdr:graphicFrame macro="">
      <xdr:nvGraphicFramePr>
        <xdr:cNvPr id="245845" name="Chart 1">
          <a:extLst>
            <a:ext uri="{FF2B5EF4-FFF2-40B4-BE49-F238E27FC236}">
              <a16:creationId xmlns:a16="http://schemas.microsoft.com/office/drawing/2014/main" id="{451AF905-0DC9-03A3-4C70-06E6E4006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xdr:rowOff>
    </xdr:from>
    <xdr:to>
      <xdr:col>11</xdr:col>
      <xdr:colOff>489026</xdr:colOff>
      <xdr:row>23</xdr:row>
      <xdr:rowOff>15874</xdr:rowOff>
    </xdr:to>
    <xdr:sp macro="" textlink="">
      <xdr:nvSpPr>
        <xdr:cNvPr id="3" name="TextBox 2">
          <a:extLst>
            <a:ext uri="{FF2B5EF4-FFF2-40B4-BE49-F238E27FC236}">
              <a16:creationId xmlns:a16="http://schemas.microsoft.com/office/drawing/2014/main" id="{FA48455C-7683-EB35-546F-4DDEE867E7FC}"/>
            </a:ext>
          </a:extLst>
        </xdr:cNvPr>
        <xdr:cNvSpPr txBox="1"/>
      </xdr:nvSpPr>
      <xdr:spPr>
        <a:xfrm>
          <a:off x="0" y="3428999"/>
          <a:ext cx="7241193" cy="968375"/>
        </a:xfrm>
        <a:prstGeom prst="rect">
          <a:avLst/>
        </a:prstGeom>
        <a:noFill/>
        <a:ln w="9525" cap="flat"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400" b="1" baseline="0">
              <a:solidFill>
                <a:schemeClr val="bg1">
                  <a:lumMod val="85000"/>
                </a:schemeClr>
              </a:solidFill>
            </a:rPr>
            <a:t>EXTERNAL DEBT  2020-2024</a:t>
          </a:r>
        </a:p>
        <a:p>
          <a:pPr algn="ctr"/>
          <a:endParaRPr lang="en-US" sz="4400" b="1" baseline="0"/>
        </a:p>
        <a:p>
          <a:pPr marL="0" marR="0" lvl="0" indent="0" algn="l" defTabSz="914400" eaLnBrk="1" fontAlgn="auto" latinLnBrk="0" hangingPunct="1">
            <a:lnSpc>
              <a:spcPct val="100000"/>
            </a:lnSpc>
            <a:spcBef>
              <a:spcPts val="0"/>
            </a:spcBef>
            <a:spcAft>
              <a:spcPts val="0"/>
            </a:spcAft>
            <a:buClrTx/>
            <a:buSzTx/>
            <a:buFontTx/>
            <a:buNone/>
            <a:tabLst/>
            <a:defRPr/>
          </a:pPr>
          <a:endParaRPr lang="en-NG" sz="1400">
            <a:effectLst/>
          </a:endParaRPr>
        </a:p>
        <a:p>
          <a:pPr algn="l"/>
          <a:endParaRPr lang="en-NG" sz="1100" b="1"/>
        </a:p>
      </xdr:txBody>
    </xdr:sp>
    <xdr:clientData/>
  </xdr:twoCellAnchor>
  <xdr:twoCellAnchor>
    <xdr:from>
      <xdr:col>22</xdr:col>
      <xdr:colOff>-1</xdr:colOff>
      <xdr:row>0</xdr:row>
      <xdr:rowOff>84667</xdr:rowOff>
    </xdr:from>
    <xdr:to>
      <xdr:col>26</xdr:col>
      <xdr:colOff>433916</xdr:colOff>
      <xdr:row>9</xdr:row>
      <xdr:rowOff>148168</xdr:rowOff>
    </xdr:to>
    <xdr:sp macro="" textlink="">
      <xdr:nvSpPr>
        <xdr:cNvPr id="4" name="TextBox 3">
          <a:extLst>
            <a:ext uri="{FF2B5EF4-FFF2-40B4-BE49-F238E27FC236}">
              <a16:creationId xmlns:a16="http://schemas.microsoft.com/office/drawing/2014/main" id="{3FEBB13C-2858-6E55-7CE0-945B9CEE0EE5}"/>
            </a:ext>
          </a:extLst>
        </xdr:cNvPr>
        <xdr:cNvSpPr txBox="1"/>
      </xdr:nvSpPr>
      <xdr:spPr>
        <a:xfrm>
          <a:off x="13546666" y="84667"/>
          <a:ext cx="2889250" cy="1778001"/>
        </a:xfrm>
        <a:prstGeom prst="rect">
          <a:avLst/>
        </a:prstGeom>
        <a:noFill/>
        <a:ln w="9525" cap="flat"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lumMod val="85000"/>
                </a:schemeClr>
              </a:solidFill>
              <a:effectLst/>
              <a:latin typeface="+mn-lt"/>
              <a:ea typeface="+mn-ea"/>
              <a:cs typeface="+mn-cs"/>
            </a:rPr>
            <a:t>TOTAL DEBT 2024</a:t>
          </a:r>
          <a:endParaRPr lang="en-US" sz="1600" b="0" i="0" u="none" strike="noStrike">
            <a:solidFill>
              <a:schemeClr val="bg1">
                <a:lumMod val="85000"/>
              </a:schemeClr>
            </a:solidFill>
            <a:effectLst/>
            <a:latin typeface="+mn-lt"/>
            <a:ea typeface="+mn-ea"/>
            <a:cs typeface="+mn-cs"/>
          </a:endParaRPr>
        </a:p>
        <a:p>
          <a:pPr algn="ctr"/>
          <a:r>
            <a:rPr lang="en-NG" sz="6000" b="1" i="0" u="none" strike="noStrike">
              <a:solidFill>
                <a:schemeClr val="bg1">
                  <a:lumMod val="85000"/>
                </a:schemeClr>
              </a:solidFill>
              <a:effectLst/>
              <a:latin typeface="+mn-lt"/>
              <a:ea typeface="+mn-ea"/>
              <a:cs typeface="+mn-cs"/>
            </a:rPr>
            <a:t>6.05T</a:t>
          </a:r>
          <a:r>
            <a:rPr lang="en-NG" sz="6000" b="1">
              <a:solidFill>
                <a:schemeClr val="bg1">
                  <a:lumMod val="85000"/>
                </a:schemeClr>
              </a:solidFill>
              <a:effectLst/>
            </a:rPr>
            <a:t> </a:t>
          </a:r>
          <a:endParaRPr lang="en-NG" sz="6000" b="1">
            <a:solidFill>
              <a:schemeClr val="bg1">
                <a:lumMod val="85000"/>
              </a:schemeClr>
            </a:solidFill>
          </a:endParaRPr>
        </a:p>
      </xdr:txBody>
    </xdr:sp>
    <xdr:clientData/>
  </xdr:twoCellAnchor>
  <xdr:twoCellAnchor>
    <xdr:from>
      <xdr:col>30</xdr:col>
      <xdr:colOff>573764</xdr:colOff>
      <xdr:row>1</xdr:row>
      <xdr:rowOff>0</xdr:rowOff>
    </xdr:from>
    <xdr:to>
      <xdr:col>35</xdr:col>
      <xdr:colOff>171599</xdr:colOff>
      <xdr:row>9</xdr:row>
      <xdr:rowOff>154189</xdr:rowOff>
    </xdr:to>
    <xdr:sp macro="" textlink="">
      <xdr:nvSpPr>
        <xdr:cNvPr id="5" name="TextBox 4">
          <a:extLst>
            <a:ext uri="{FF2B5EF4-FFF2-40B4-BE49-F238E27FC236}">
              <a16:creationId xmlns:a16="http://schemas.microsoft.com/office/drawing/2014/main" id="{F6A7B8D6-553E-6B2B-745A-715CD59E4F8B}"/>
            </a:ext>
          </a:extLst>
        </xdr:cNvPr>
        <xdr:cNvSpPr txBox="1"/>
      </xdr:nvSpPr>
      <xdr:spPr>
        <a:xfrm>
          <a:off x="19031097" y="190500"/>
          <a:ext cx="2667002" cy="167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lumMod val="85000"/>
                </a:schemeClr>
              </a:solidFill>
              <a:effectLst/>
              <a:latin typeface="+mn-lt"/>
              <a:ea typeface="+mn-ea"/>
              <a:cs typeface="+mn-cs"/>
            </a:rPr>
            <a:t>AVG</a:t>
          </a:r>
          <a:r>
            <a:rPr lang="en-US" sz="1600" b="1" i="0" u="none" strike="noStrike" baseline="0">
              <a:solidFill>
                <a:schemeClr val="bg1">
                  <a:lumMod val="85000"/>
                </a:schemeClr>
              </a:solidFill>
              <a:effectLst/>
              <a:latin typeface="+mn-lt"/>
              <a:ea typeface="+mn-ea"/>
              <a:cs typeface="+mn-cs"/>
            </a:rPr>
            <a:t> GROWTH</a:t>
          </a:r>
        </a:p>
        <a:p>
          <a:pPr algn="ctr"/>
          <a:r>
            <a:rPr lang="en-NG" sz="6000">
              <a:solidFill>
                <a:schemeClr val="bg1">
                  <a:lumMod val="85000"/>
                </a:schemeClr>
              </a:solidFill>
              <a:effectLst/>
            </a:rPr>
            <a:t> </a:t>
          </a:r>
          <a:r>
            <a:rPr lang="en-NG" sz="6000" b="1" i="0" u="none" strike="noStrike">
              <a:solidFill>
                <a:schemeClr val="bg1">
                  <a:lumMod val="85000"/>
                </a:schemeClr>
              </a:solidFill>
              <a:effectLst/>
              <a:latin typeface="+mn-lt"/>
              <a:ea typeface="+mn-ea"/>
              <a:cs typeface="+mn-cs"/>
            </a:rPr>
            <a:t>18%</a:t>
          </a:r>
          <a:r>
            <a:rPr lang="en-NG" sz="6000" b="1">
              <a:solidFill>
                <a:schemeClr val="bg1">
                  <a:lumMod val="85000"/>
                </a:schemeClr>
              </a:solidFill>
              <a:effectLst/>
            </a:rPr>
            <a:t> </a:t>
          </a:r>
          <a:endParaRPr lang="en-NG" sz="6000" b="1">
            <a:solidFill>
              <a:schemeClr val="bg1">
                <a:lumMod val="85000"/>
              </a:schemeClr>
            </a:solidFill>
          </a:endParaRPr>
        </a:p>
      </xdr:txBody>
    </xdr:sp>
    <xdr:clientData/>
  </xdr:twoCellAnchor>
  <xdr:twoCellAnchor>
    <xdr:from>
      <xdr:col>39</xdr:col>
      <xdr:colOff>442054</xdr:colOff>
      <xdr:row>1</xdr:row>
      <xdr:rowOff>42333</xdr:rowOff>
    </xdr:from>
    <xdr:to>
      <xdr:col>45</xdr:col>
      <xdr:colOff>21167</xdr:colOff>
      <xdr:row>9</xdr:row>
      <xdr:rowOff>0</xdr:rowOff>
    </xdr:to>
    <xdr:sp macro="" textlink="">
      <xdr:nvSpPr>
        <xdr:cNvPr id="6" name="TextBox 5">
          <a:extLst>
            <a:ext uri="{FF2B5EF4-FFF2-40B4-BE49-F238E27FC236}">
              <a16:creationId xmlns:a16="http://schemas.microsoft.com/office/drawing/2014/main" id="{CF7E2DB3-8C70-8F69-8821-A28A8C743FC5}"/>
            </a:ext>
          </a:extLst>
        </xdr:cNvPr>
        <xdr:cNvSpPr txBox="1"/>
      </xdr:nvSpPr>
      <xdr:spPr>
        <a:xfrm>
          <a:off x="24381554" y="232833"/>
          <a:ext cx="3262113" cy="148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lumMod val="85000"/>
                </a:schemeClr>
              </a:solidFill>
              <a:effectLst/>
              <a:latin typeface="+mn-lt"/>
              <a:ea typeface="+mn-ea"/>
              <a:cs typeface="+mn-cs"/>
            </a:rPr>
            <a:t>HIGHEST GROWTH</a:t>
          </a:r>
          <a:r>
            <a:rPr lang="en-US" sz="1600" b="1" i="0" u="none" strike="noStrike" baseline="0">
              <a:solidFill>
                <a:schemeClr val="bg1">
                  <a:lumMod val="85000"/>
                </a:schemeClr>
              </a:solidFill>
              <a:effectLst/>
              <a:latin typeface="+mn-lt"/>
              <a:ea typeface="+mn-ea"/>
              <a:cs typeface="+mn-cs"/>
            </a:rPr>
            <a:t> COUNTRY</a:t>
          </a:r>
        </a:p>
        <a:p>
          <a:pPr algn="ctr"/>
          <a:r>
            <a:rPr lang="en-US" sz="6000" b="1" i="0" u="none" strike="noStrike">
              <a:solidFill>
                <a:schemeClr val="bg1">
                  <a:lumMod val="85000"/>
                </a:schemeClr>
              </a:solidFill>
              <a:effectLst/>
              <a:latin typeface="+mn-lt"/>
              <a:ea typeface="+mn-ea"/>
              <a:cs typeface="+mn-cs"/>
            </a:rPr>
            <a:t>FIJI</a:t>
          </a:r>
          <a:r>
            <a:rPr lang="en-US" sz="6000" b="1" i="0" u="none" strike="noStrike" baseline="0">
              <a:solidFill>
                <a:schemeClr val="bg1">
                  <a:lumMod val="85000"/>
                </a:schemeClr>
              </a:solidFill>
              <a:effectLst/>
              <a:latin typeface="+mn-lt"/>
              <a:ea typeface="+mn-ea"/>
              <a:cs typeface="+mn-cs"/>
            </a:rPr>
            <a:t> </a:t>
          </a:r>
          <a:r>
            <a:rPr lang="en-NG" sz="6000" b="1" i="0" u="none" strike="noStrike">
              <a:solidFill>
                <a:schemeClr val="bg1">
                  <a:lumMod val="85000"/>
                </a:schemeClr>
              </a:solidFill>
              <a:effectLst/>
              <a:latin typeface="+mn-lt"/>
              <a:ea typeface="+mn-ea"/>
              <a:cs typeface="+mn-cs"/>
            </a:rPr>
            <a:t>89%</a:t>
          </a:r>
          <a:r>
            <a:rPr lang="en-NG" sz="6000" b="1">
              <a:solidFill>
                <a:schemeClr val="bg1">
                  <a:lumMod val="85000"/>
                </a:schemeClr>
              </a:solidFill>
              <a:effectLst/>
            </a:rPr>
            <a:t> </a:t>
          </a:r>
          <a:endParaRPr lang="en-NG" sz="6000" b="1">
            <a:solidFill>
              <a:schemeClr val="bg1">
                <a:lumMod val="85000"/>
              </a:schemeClr>
            </a:solidFill>
          </a:endParaRPr>
        </a:p>
      </xdr:txBody>
    </xdr:sp>
    <xdr:clientData/>
  </xdr:twoCellAnchor>
  <xdr:oneCellAnchor>
    <xdr:from>
      <xdr:col>40</xdr:col>
      <xdr:colOff>444499</xdr:colOff>
      <xdr:row>47</xdr:row>
      <xdr:rowOff>139471</xdr:rowOff>
    </xdr:from>
    <xdr:ext cx="7979834" cy="530658"/>
    <xdr:sp macro="" textlink="">
      <xdr:nvSpPr>
        <xdr:cNvPr id="8" name="TextBox 7">
          <a:extLst>
            <a:ext uri="{FF2B5EF4-FFF2-40B4-BE49-F238E27FC236}">
              <a16:creationId xmlns:a16="http://schemas.microsoft.com/office/drawing/2014/main" id="{1C4FA230-54F7-BB8F-B88A-2648C4D771FB}"/>
            </a:ext>
          </a:extLst>
        </xdr:cNvPr>
        <xdr:cNvSpPr txBox="1"/>
      </xdr:nvSpPr>
      <xdr:spPr>
        <a:xfrm>
          <a:off x="25040166" y="9092971"/>
          <a:ext cx="797983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i="1">
              <a:solidFill>
                <a:schemeClr val="bg2"/>
              </a:solidFill>
            </a:rPr>
            <a:t>Frontier markets growing fastest from low bases</a:t>
          </a:r>
          <a:endParaRPr lang="en-NG" sz="2800" i="1">
            <a:solidFill>
              <a:schemeClr val="bg2"/>
            </a:solidFill>
          </a:endParaRPr>
        </a:p>
      </xdr:txBody>
    </xdr:sp>
    <xdr:clientData/>
  </xdr:oneCellAnchor>
  <xdr:twoCellAnchor>
    <xdr:from>
      <xdr:col>24</xdr:col>
      <xdr:colOff>531136</xdr:colOff>
      <xdr:row>85</xdr:row>
      <xdr:rowOff>41605</xdr:rowOff>
    </xdr:from>
    <xdr:to>
      <xdr:col>36</xdr:col>
      <xdr:colOff>371329</xdr:colOff>
      <xdr:row>87</xdr:row>
      <xdr:rowOff>146380</xdr:rowOff>
    </xdr:to>
    <xdr:sp macro="" textlink="">
      <xdr:nvSpPr>
        <xdr:cNvPr id="10" name="TextBox 9">
          <a:extLst>
            <a:ext uri="{FF2B5EF4-FFF2-40B4-BE49-F238E27FC236}">
              <a16:creationId xmlns:a16="http://schemas.microsoft.com/office/drawing/2014/main" id="{BD53C900-EEF2-D91F-AC5E-21C864064D84}"/>
            </a:ext>
          </a:extLst>
        </xdr:cNvPr>
        <xdr:cNvSpPr txBox="1"/>
      </xdr:nvSpPr>
      <xdr:spPr>
        <a:xfrm>
          <a:off x="15305469" y="16234105"/>
          <a:ext cx="7206193"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1">
              <a:solidFill>
                <a:schemeClr val="bg2"/>
              </a:solidFill>
            </a:rPr>
            <a:t>Post-COVID debt stabilized at elevated levels</a:t>
          </a:r>
          <a:endParaRPr lang="en-NG" sz="2800" b="0" i="1">
            <a:solidFill>
              <a:schemeClr val="bg2"/>
            </a:solidFill>
          </a:endParaRPr>
        </a:p>
      </xdr:txBody>
    </xdr:sp>
    <xdr:clientData/>
  </xdr:twoCellAnchor>
  <xdr:twoCellAnchor>
    <xdr:from>
      <xdr:col>16</xdr:col>
      <xdr:colOff>125942</xdr:colOff>
      <xdr:row>48</xdr:row>
      <xdr:rowOff>61155</xdr:rowOff>
    </xdr:from>
    <xdr:to>
      <xdr:col>25</xdr:col>
      <xdr:colOff>497416</xdr:colOff>
      <xdr:row>50</xdr:row>
      <xdr:rowOff>173336</xdr:rowOff>
    </xdr:to>
    <xdr:sp macro="" textlink="">
      <xdr:nvSpPr>
        <xdr:cNvPr id="11" name="TextBox 10">
          <a:extLst>
            <a:ext uri="{FF2B5EF4-FFF2-40B4-BE49-F238E27FC236}">
              <a16:creationId xmlns:a16="http://schemas.microsoft.com/office/drawing/2014/main" id="{F839685A-13B9-FE38-4CAB-E2AFA3FD22A0}"/>
            </a:ext>
          </a:extLst>
        </xdr:cNvPr>
        <xdr:cNvSpPr txBox="1"/>
      </xdr:nvSpPr>
      <xdr:spPr>
        <a:xfrm>
          <a:off x="9989609" y="9205155"/>
          <a:ext cx="5895974" cy="493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1" u="none">
              <a:solidFill>
                <a:schemeClr val="bg2"/>
              </a:solidFill>
            </a:rPr>
            <a:t>China Dominates at 40% of Total</a:t>
          </a:r>
          <a:endParaRPr lang="en-NG" sz="2800" b="0" i="1" u="none">
            <a:solidFill>
              <a:schemeClr val="bg2"/>
            </a:solidFill>
          </a:endParaRPr>
        </a:p>
      </xdr:txBody>
    </xdr:sp>
    <xdr:clientData/>
  </xdr:twoCellAnchor>
  <xdr:twoCellAnchor>
    <xdr:from>
      <xdr:col>49</xdr:col>
      <xdr:colOff>34925</xdr:colOff>
      <xdr:row>1</xdr:row>
      <xdr:rowOff>42332</xdr:rowOff>
    </xdr:from>
    <xdr:to>
      <xdr:col>55</xdr:col>
      <xdr:colOff>0</xdr:colOff>
      <xdr:row>8</xdr:row>
      <xdr:rowOff>24085</xdr:rowOff>
    </xdr:to>
    <xdr:sp macro="" textlink="">
      <xdr:nvSpPr>
        <xdr:cNvPr id="2" name="TextBox 1">
          <a:extLst>
            <a:ext uri="{FF2B5EF4-FFF2-40B4-BE49-F238E27FC236}">
              <a16:creationId xmlns:a16="http://schemas.microsoft.com/office/drawing/2014/main" id="{F7A48AF9-9096-964C-70B8-902A8C08BA23}"/>
            </a:ext>
          </a:extLst>
        </xdr:cNvPr>
        <xdr:cNvSpPr txBox="1"/>
      </xdr:nvSpPr>
      <xdr:spPr>
        <a:xfrm>
          <a:off x="30112758" y="232832"/>
          <a:ext cx="3648075" cy="1315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85000"/>
                </a:schemeClr>
              </a:solidFill>
            </a:rPr>
            <a:t>TOTAL</a:t>
          </a:r>
          <a:r>
            <a:rPr lang="en-US" sz="1600" b="1" baseline="0">
              <a:solidFill>
                <a:schemeClr val="bg1">
                  <a:lumMod val="85000"/>
                </a:schemeClr>
              </a:solidFill>
            </a:rPr>
            <a:t> COUNTRY ANALYSED</a:t>
          </a:r>
        </a:p>
        <a:p>
          <a:pPr algn="ctr"/>
          <a:r>
            <a:rPr lang="en-US" sz="6000" b="1" baseline="0">
              <a:solidFill>
                <a:schemeClr val="bg1">
                  <a:lumMod val="85000"/>
                </a:schemeClr>
              </a:solidFill>
            </a:rPr>
            <a:t> 20</a:t>
          </a:r>
          <a:endParaRPr lang="en-NG" sz="6000" b="1">
            <a:solidFill>
              <a:schemeClr val="bg1">
                <a:lumMod val="85000"/>
              </a:schemeClr>
            </a:solidFill>
          </a:endParaRPr>
        </a:p>
      </xdr:txBody>
    </xdr:sp>
    <xdr:clientData/>
  </xdr:twoCellAnchor>
  <xdr:twoCellAnchor>
    <xdr:from>
      <xdr:col>0</xdr:col>
      <xdr:colOff>84666</xdr:colOff>
      <xdr:row>22</xdr:row>
      <xdr:rowOff>95251</xdr:rowOff>
    </xdr:from>
    <xdr:to>
      <xdr:col>11</xdr:col>
      <xdr:colOff>489026</xdr:colOff>
      <xdr:row>35</xdr:row>
      <xdr:rowOff>164041</xdr:rowOff>
    </xdr:to>
    <xdr:sp macro="" textlink="">
      <xdr:nvSpPr>
        <xdr:cNvPr id="9" name="TextBox 8">
          <a:extLst>
            <a:ext uri="{FF2B5EF4-FFF2-40B4-BE49-F238E27FC236}">
              <a16:creationId xmlns:a16="http://schemas.microsoft.com/office/drawing/2014/main" id="{A18E9266-B51C-D241-ED9F-6A7CD4183D86}"/>
            </a:ext>
          </a:extLst>
        </xdr:cNvPr>
        <xdr:cNvSpPr txBox="1"/>
      </xdr:nvSpPr>
      <xdr:spPr>
        <a:xfrm>
          <a:off x="84666" y="4286251"/>
          <a:ext cx="7156527" cy="254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a:solidFill>
              <a:schemeClr val="bg1">
                <a:lumMod val="85000"/>
              </a:schemeClr>
            </a:solidFill>
          </a:endParaRPr>
        </a:p>
        <a:p>
          <a:pPr marL="342900" indent="-342900">
            <a:buFont typeface="Arial" panose="020B0604020202020204" pitchFamily="34" charset="0"/>
            <a:buChar char="•"/>
          </a:pPr>
          <a:r>
            <a:rPr lang="en-US" sz="2400">
              <a:solidFill>
                <a:schemeClr val="bg1">
                  <a:lumMod val="85000"/>
                </a:schemeClr>
              </a:solidFill>
            </a:rPr>
            <a:t>Which countries hold the highest external debt?</a:t>
          </a:r>
        </a:p>
        <a:p>
          <a:pPr marL="342900" indent="-342900">
            <a:buFont typeface="Arial" panose="020B0604020202020204" pitchFamily="34" charset="0"/>
            <a:buChar char="•"/>
          </a:pPr>
          <a:r>
            <a:rPr lang="en-US" sz="2400">
              <a:solidFill>
                <a:schemeClr val="bg1">
                  <a:lumMod val="85000"/>
                </a:schemeClr>
              </a:solidFill>
            </a:rPr>
            <a:t>How has debt changed since COVID-19?</a:t>
          </a:r>
        </a:p>
        <a:p>
          <a:pPr marL="342900" indent="-342900">
            <a:buFont typeface="Arial" panose="020B0604020202020204" pitchFamily="34" charset="0"/>
            <a:buChar char="•"/>
          </a:pPr>
          <a:r>
            <a:rPr lang="en-US" sz="2400">
              <a:solidFill>
                <a:schemeClr val="bg1">
                  <a:lumMod val="85000"/>
                </a:schemeClr>
              </a:solidFill>
            </a:rPr>
            <a:t>Which countries experienced the fastest debt growth?</a:t>
          </a:r>
        </a:p>
        <a:p>
          <a:pPr marL="342900" indent="-342900">
            <a:buFont typeface="Arial" panose="020B0604020202020204" pitchFamily="34" charset="0"/>
            <a:buChar char="•"/>
          </a:pPr>
          <a:r>
            <a:rPr lang="en-US" sz="2400">
              <a:solidFill>
                <a:schemeClr val="bg1">
                  <a:lumMod val="85000"/>
                </a:schemeClr>
              </a:solidFill>
            </a:rPr>
            <a:t>Total</a:t>
          </a:r>
          <a:r>
            <a:rPr lang="en-US" sz="2400" baseline="0">
              <a:solidFill>
                <a:schemeClr val="bg1">
                  <a:lumMod val="85000"/>
                </a:schemeClr>
              </a:solidFill>
            </a:rPr>
            <a:t> number of countries analysed?</a:t>
          </a:r>
          <a:endParaRPr lang="en-NG" sz="2400">
            <a:solidFill>
              <a:schemeClr val="bg1">
                <a:lumMod val="85000"/>
              </a:schemeClr>
            </a:solidFill>
          </a:endParaRPr>
        </a:p>
      </xdr:txBody>
    </xdr:sp>
    <xdr:clientData/>
  </xdr:twoCellAnchor>
  <xdr:twoCellAnchor editAs="oneCell">
    <xdr:from>
      <xdr:col>0</xdr:col>
      <xdr:colOff>652349</xdr:colOff>
      <xdr:row>36</xdr:row>
      <xdr:rowOff>148166</xdr:rowOff>
    </xdr:from>
    <xdr:to>
      <xdr:col>7</xdr:col>
      <xdr:colOff>423333</xdr:colOff>
      <xdr:row>51</xdr:row>
      <xdr:rowOff>14814</xdr:rowOff>
    </xdr:to>
    <mc:AlternateContent xmlns:mc="http://schemas.openxmlformats.org/markup-compatibility/2006" xmlns:a14="http://schemas.microsoft.com/office/drawing/2010/main">
      <mc:Choice Requires="a14">
        <xdr:graphicFrame macro="">
          <xdr:nvGraphicFramePr>
            <xdr:cNvPr id="13" name="Country Name 1">
              <a:extLst>
                <a:ext uri="{FF2B5EF4-FFF2-40B4-BE49-F238E27FC236}">
                  <a16:creationId xmlns:a16="http://schemas.microsoft.com/office/drawing/2014/main" id="{5677F278-968C-452F-87FE-AD6882435B93}"/>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mlns="">
        <xdr:sp macro="" textlink="">
          <xdr:nvSpPr>
            <xdr:cNvPr id="0" name=""/>
            <xdr:cNvSpPr>
              <a:spLocks noTextEdit="1"/>
            </xdr:cNvSpPr>
          </xdr:nvSpPr>
          <xdr:spPr>
            <a:xfrm>
              <a:off x="652349" y="7006166"/>
              <a:ext cx="4110151" cy="272414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635002</xdr:colOff>
      <xdr:row>53</xdr:row>
      <xdr:rowOff>126997</xdr:rowOff>
    </xdr:from>
    <xdr:to>
      <xdr:col>7</xdr:col>
      <xdr:colOff>486833</xdr:colOff>
      <xdr:row>70</xdr:row>
      <xdr:rowOff>63498</xdr:rowOff>
    </xdr:to>
    <mc:AlternateContent xmlns:mc="http://schemas.openxmlformats.org/markup-compatibility/2006">
      <mc:Choice xmlns:a14="http://schemas.microsoft.com/office/drawing/2010/main" Requires="a14">
        <xdr:graphicFrame macro="">
          <xdr:nvGraphicFramePr>
            <xdr:cNvPr id="14" name="% Change 1">
              <a:extLst>
                <a:ext uri="{FF2B5EF4-FFF2-40B4-BE49-F238E27FC236}">
                  <a16:creationId xmlns:a16="http://schemas.microsoft.com/office/drawing/2014/main" id="{8E715BB7-2795-4E58-BCDE-87BDB1A7067B}"/>
                </a:ext>
              </a:extLst>
            </xdr:cNvPr>
            <xdr:cNvGraphicFramePr/>
          </xdr:nvGraphicFramePr>
          <xdr:xfrm>
            <a:off x="0" y="0"/>
            <a:ext cx="0" cy="0"/>
          </xdr:xfrm>
          <a:graphic>
            <a:graphicData uri="http://schemas.microsoft.com/office/drawing/2010/slicer">
              <sle:slicer xmlns:sle="http://schemas.microsoft.com/office/drawing/2010/slicer" name="% Change 1"/>
            </a:graphicData>
          </a:graphic>
        </xdr:graphicFrame>
      </mc:Choice>
      <mc:Fallback>
        <xdr:sp macro="" textlink="">
          <xdr:nvSpPr>
            <xdr:cNvPr id="0" name=""/>
            <xdr:cNvSpPr>
              <a:spLocks noTextEdit="1"/>
            </xdr:cNvSpPr>
          </xdr:nvSpPr>
          <xdr:spPr>
            <a:xfrm>
              <a:off x="635002" y="10223497"/>
              <a:ext cx="4190998" cy="31750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52</xdr:row>
      <xdr:rowOff>42333</xdr:rowOff>
    </xdr:from>
    <xdr:to>
      <xdr:col>49</xdr:col>
      <xdr:colOff>423334</xdr:colOff>
      <xdr:row>84</xdr:row>
      <xdr:rowOff>105833</xdr:rowOff>
    </xdr:to>
    <xdr:graphicFrame macro="">
      <xdr:nvGraphicFramePr>
        <xdr:cNvPr id="18" name="Chart 17">
          <a:extLst>
            <a:ext uri="{FF2B5EF4-FFF2-40B4-BE49-F238E27FC236}">
              <a16:creationId xmlns:a16="http://schemas.microsoft.com/office/drawing/2014/main" id="{5EBD35D5-5B94-484F-87F1-41B2B1EA6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190501</xdr:colOff>
      <xdr:row>0</xdr:row>
      <xdr:rowOff>63500</xdr:rowOff>
    </xdr:from>
    <xdr:to>
      <xdr:col>9</xdr:col>
      <xdr:colOff>571500</xdr:colOff>
      <xdr:row>18</xdr:row>
      <xdr:rowOff>21167</xdr:rowOff>
    </xdr:to>
    <xdr:pic>
      <xdr:nvPicPr>
        <xdr:cNvPr id="24" name="Picture 23">
          <a:extLst>
            <a:ext uri="{FF2B5EF4-FFF2-40B4-BE49-F238E27FC236}">
              <a16:creationId xmlns:a16="http://schemas.microsoft.com/office/drawing/2014/main" id="{5F1001C5-28BD-8C89-98FD-386796C3A1FF}"/>
            </a:ext>
          </a:extLst>
        </xdr:cNvPr>
        <xdr:cNvPicPr>
          <a:picLocks noChangeAspect="1"/>
        </xdr:cNvPicPr>
      </xdr:nvPicPr>
      <xdr:blipFill rotWithShape="1">
        <a:blip xmlns:r="http://schemas.openxmlformats.org/officeDocument/2006/relationships" r:embed="rId4">
          <a:alphaModFix amt="85000"/>
          <a:extLst>
            <a:ext uri="{BEBA8EAE-BF5A-486C-A8C5-ECC9F3942E4B}">
              <a14:imgProps xmlns:a14="http://schemas.microsoft.com/office/drawing/2010/main">
                <a14:imgLayer r:embed="rId5">
                  <a14:imgEffect>
                    <a14:sharpenSoften amount="-50000"/>
                  </a14:imgEffect>
                  <a14:imgEffect>
                    <a14:brightnessContrast contrast="20000"/>
                  </a14:imgEffect>
                </a14:imgLayer>
              </a14:imgProps>
            </a:ext>
          </a:extLst>
        </a:blip>
        <a:srcRect/>
        <a:stretch>
          <a:fillRect/>
        </a:stretch>
      </xdr:blipFill>
      <xdr:spPr>
        <a:xfrm>
          <a:off x="190501" y="63500"/>
          <a:ext cx="5947832" cy="3386667"/>
        </a:xfrm>
        <a:prstGeom prst="rect">
          <a:avLst/>
        </a:prstGeom>
        <a:solidFill>
          <a:srgbClr val="002D86"/>
        </a:solidFill>
        <a:ln>
          <a:solidFill>
            <a:srgbClr val="FFC000"/>
          </a:solidFill>
        </a:ln>
      </xdr:spPr>
    </xdr:pic>
    <xdr:clientData/>
  </xdr:twoCellAnchor>
  <xdr:twoCellAnchor editAs="oneCell">
    <xdr:from>
      <xdr:col>21</xdr:col>
      <xdr:colOff>514284</xdr:colOff>
      <xdr:row>4</xdr:row>
      <xdr:rowOff>-1</xdr:rowOff>
    </xdr:from>
    <xdr:to>
      <xdr:col>23</xdr:col>
      <xdr:colOff>135468</xdr:colOff>
      <xdr:row>7</xdr:row>
      <xdr:rowOff>143932</xdr:rowOff>
    </xdr:to>
    <xdr:pic>
      <xdr:nvPicPr>
        <xdr:cNvPr id="12" name="Graphic 11" descr="Dollar with solid fill">
          <a:extLst>
            <a:ext uri="{FF2B5EF4-FFF2-40B4-BE49-F238E27FC236}">
              <a16:creationId xmlns:a16="http://schemas.microsoft.com/office/drawing/2014/main" id="{D1C0C1F3-5176-0AFB-D321-8350A3EB4C4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47117" y="761999"/>
          <a:ext cx="848851" cy="715433"/>
        </a:xfrm>
        <a:prstGeom prst="rect">
          <a:avLst/>
        </a:prstGeom>
      </xdr:spPr>
    </xdr:pic>
    <xdr:clientData/>
  </xdr:twoCellAnchor>
  <xdr:twoCellAnchor editAs="oneCell">
    <xdr:from>
      <xdr:col>39</xdr:col>
      <xdr:colOff>0</xdr:colOff>
      <xdr:row>3</xdr:row>
      <xdr:rowOff>127000</xdr:rowOff>
    </xdr:from>
    <xdr:to>
      <xdr:col>40</xdr:col>
      <xdr:colOff>300566</xdr:colOff>
      <xdr:row>8</xdr:row>
      <xdr:rowOff>88900</xdr:rowOff>
    </xdr:to>
    <xdr:pic>
      <xdr:nvPicPr>
        <xdr:cNvPr id="17" name="Graphic 16" descr="Earth globe: Asia and Australia with solid fill">
          <a:extLst>
            <a:ext uri="{FF2B5EF4-FFF2-40B4-BE49-F238E27FC236}">
              <a16:creationId xmlns:a16="http://schemas.microsoft.com/office/drawing/2014/main" id="{576A0A32-EEF6-E1F5-BF90-03466A7976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939500" y="698500"/>
          <a:ext cx="914400" cy="914400"/>
        </a:xfrm>
        <a:prstGeom prst="rect">
          <a:avLst/>
        </a:prstGeom>
      </xdr:spPr>
    </xdr:pic>
    <xdr:clientData/>
  </xdr:twoCellAnchor>
  <xdr:twoCellAnchor editAs="oneCell">
    <xdr:from>
      <xdr:col>30</xdr:col>
      <xdr:colOff>397934</xdr:colOff>
      <xdr:row>3</xdr:row>
      <xdr:rowOff>143933</xdr:rowOff>
    </xdr:from>
    <xdr:to>
      <xdr:col>32</xdr:col>
      <xdr:colOff>84667</xdr:colOff>
      <xdr:row>8</xdr:row>
      <xdr:rowOff>105833</xdr:rowOff>
    </xdr:to>
    <xdr:pic>
      <xdr:nvPicPr>
        <xdr:cNvPr id="20" name="Graphic 19" descr="No sign with solid fill">
          <a:extLst>
            <a:ext uri="{FF2B5EF4-FFF2-40B4-BE49-F238E27FC236}">
              <a16:creationId xmlns:a16="http://schemas.microsoft.com/office/drawing/2014/main" id="{A066DD4E-BFB5-880F-27A7-7979437B85E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812934" y="715433"/>
          <a:ext cx="914400" cy="914400"/>
        </a:xfrm>
        <a:prstGeom prst="rect">
          <a:avLst/>
        </a:prstGeom>
      </xdr:spPr>
    </xdr:pic>
    <xdr:clientData/>
  </xdr:twoCellAnchor>
  <xdr:twoCellAnchor editAs="oneCell">
    <xdr:from>
      <xdr:col>50</xdr:col>
      <xdr:colOff>25400</xdr:colOff>
      <xdr:row>3</xdr:row>
      <xdr:rowOff>127000</xdr:rowOff>
    </xdr:from>
    <xdr:to>
      <xdr:col>51</xdr:col>
      <xdr:colOff>325967</xdr:colOff>
      <xdr:row>7</xdr:row>
      <xdr:rowOff>131233</xdr:rowOff>
    </xdr:to>
    <xdr:pic>
      <xdr:nvPicPr>
        <xdr:cNvPr id="23" name="Graphic 22" descr="Globe with solid fill">
          <a:extLst>
            <a:ext uri="{FF2B5EF4-FFF2-40B4-BE49-F238E27FC236}">
              <a16:creationId xmlns:a16="http://schemas.microsoft.com/office/drawing/2014/main" id="{F1DB07EB-B9CE-8A3A-DF69-95D2F9B2BC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717067" y="698500"/>
          <a:ext cx="914400" cy="7662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maka Vivian Chizoba" refreshedDate="46176.982591782406" createdVersion="8" refreshedVersion="8" recordCount="20" xr:uid="{D855ED64-B8C0-4CB6-A58A-F13637896D6B}">
  <cacheSource type="worksheet">
    <worksheetSource name="Table1_1"/>
  </cacheSource>
  <cacheFields count="18">
    <cacheField name="Country Name" numFmtId="0">
      <sharedItems containsBlank="1" count="21">
        <s v="China"/>
        <s v="India"/>
        <s v="Mexico"/>
        <s v="Brazil"/>
        <s v="Turkiye"/>
        <s v="Indonesia"/>
        <s v="South Africa"/>
        <s v="Egypt, Arab Rep."/>
        <s v="Philippines"/>
        <s v="Nigeria"/>
        <s v="Ecuador"/>
        <s v="Ghana"/>
        <s v="Kenya"/>
        <s v="Iraq"/>
        <s v="Zimbabwe"/>
        <s v="Benin"/>
        <s v="Afghanistan"/>
        <s v="Togo"/>
        <s v="Sierra Leone"/>
        <s v="Fiji"/>
        <m u="1"/>
      </sharedItems>
    </cacheField>
    <cacheField name="Country Code" numFmtId="0">
      <sharedItems count="20">
        <s v="CHN"/>
        <s v="IND"/>
        <s v="MEX"/>
        <s v="BRA"/>
        <s v="TUR"/>
        <s v="IDN"/>
        <s v="ZAF"/>
        <s v="EGY"/>
        <s v="PHL"/>
        <s v="NGA"/>
        <s v="ECU"/>
        <s v="GHA"/>
        <s v="KEN"/>
        <s v="IRQ"/>
        <s v="ZWE"/>
        <s v="BEN"/>
        <s v="AFG"/>
        <s v="TGO"/>
        <s v="SLE"/>
        <s v="FJI"/>
      </sharedItems>
    </cacheField>
    <cacheField name="Indicator Name" numFmtId="0">
      <sharedItems/>
    </cacheField>
    <cacheField name="Indicator Code" numFmtId="0">
      <sharedItems/>
    </cacheField>
    <cacheField name="2020" numFmtId="0">
      <sharedItems containsSemiMixedTypes="0" containsString="0" containsNumber="1" minValue="2047345488.9000001" maxValue="2326232537961.7002"/>
    </cacheField>
    <cacheField name="2021" numFmtId="0">
      <sharedItems containsSemiMixedTypes="0" containsString="0" containsNumber="1" minValue="2498008201.1999998" maxValue="2724353650084.7998"/>
    </cacheField>
    <cacheField name="2022" numFmtId="0">
      <sharedItems containsSemiMixedTypes="0" containsString="0" containsNumber="1" minValue="2401417378.0999999" maxValue="2530502272052.6001"/>
    </cacheField>
    <cacheField name="2023" numFmtId="0">
      <sharedItems containsSemiMixedTypes="0" containsString="0" containsNumber="1" minValue="2403103683.5" maxValue="2447537483872.7998"/>
    </cacheField>
    <cacheField name="2024" numFmtId="0">
      <sharedItems containsSemiMixedTypes="0" containsString="0" containsNumber="1" minValue="2329744049.4000001" maxValue="2419835436491.7998"/>
    </cacheField>
    <cacheField name="% Change" numFmtId="9">
      <sharedItems containsSemiMixedTypes="0" containsString="0" containsNumber="1" minValue="-0.33466999595768565" maxValue="0.88972497132308503" count="20">
        <n v="4.0237980082643274E-2"/>
        <n v="0.2681101715328405"/>
        <n v="-4.1238720869359598E-2"/>
        <n v="0.10218788546083828"/>
        <n v="0.19964884531409541"/>
        <n v="9.646163762721283E-3"/>
        <n v="2.6683962417310843E-3"/>
        <n v="0.1768087043725606"/>
        <n v="0.39098825802353648"/>
        <n v="0.24164953923299562"/>
        <n v="7.0348320298728104E-2"/>
        <n v="-7.1489312459119408E-2"/>
        <n v="0.12744147059922581"/>
        <n v="-0.33466999595768565"/>
        <n v="0.10507574008108275"/>
        <n v="0.66303894986042999"/>
        <n v="0.10000536943148794"/>
        <n v="0.67167100300673754"/>
        <n v="6.111464442276842E-2"/>
        <n v="0.88972497132308503"/>
      </sharedItems>
    </cacheField>
    <cacheField name="CAGR" numFmtId="10">
      <sharedItems containsSemiMixedTypes="0" containsString="0" containsNumber="1" minValue="-9.6851266468630959E-2" maxValue="0.17246436102972562"/>
    </cacheField>
    <cacheField name="SUM" numFmtId="0">
      <sharedItems containsSemiMixedTypes="0" containsString="0" containsNumber="1" minValue="11861740569.1" maxValue="12448461380463.699"/>
    </cacheField>
    <cacheField name="Path" numFmtId="0">
      <sharedItems containsBlank="1" count="4">
        <s v="Stabilizer"/>
        <s v="Spiraler"/>
        <s v="Slow Climber"/>
        <m u="1"/>
      </sharedItems>
    </cacheField>
    <cacheField name="Year" numFmtId="0">
      <sharedItems containsMixedTypes="1" containsNumber="1" containsInteger="1" minValue="2020" maxValue="2024" count="6">
        <n v="2020"/>
        <n v="2021"/>
        <n v="2022"/>
        <n v="2023"/>
        <n v="2024"/>
        <s v="yearly"/>
      </sharedItems>
    </cacheField>
    <cacheField name="Total Debt" numFmtId="0">
      <sharedItems containsMixedTypes="1" containsNumber="1" minValue="5590070148480.4004" maxValue="6088025823934.2988"/>
    </cacheField>
    <cacheField name="COUNTRY" numFmtId="0">
      <sharedItems/>
    </cacheField>
    <cacheField name="DEBT" numFmtId="0">
      <sharedItems containsSemiMixedTypes="0" containsString="0" containsNumber="1" minValue="2.0473454889000002E-3" maxValue="2.3262325379617002"/>
    </cacheField>
    <cacheField name="%CHANGE" numFmtId="0">
      <sharedItems containsSemiMixedTypes="0" containsString="0" containsNumber="1" minValue="-0.33466999595768565" maxValue="0.88972497132308503"/>
    </cacheField>
  </cacheFields>
  <extLst>
    <ext xmlns:x14="http://schemas.microsoft.com/office/spreadsheetml/2009/9/main" uri="{725AE2AE-9491-48be-B2B4-4EB974FC3084}">
      <x14:pivotCacheDefinition pivotCacheId="6913301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maka Vivian Chizoba" refreshedDate="46176.987197916664" createdVersion="8" refreshedVersion="8" minRefreshableVersion="3" recordCount="5" xr:uid="{1EAD316F-FC86-436E-8390-E7AC703E602D}">
  <cacheSource type="worksheet">
    <worksheetSource ref="X9:Y14" sheet="Cleaned data"/>
  </cacheSource>
  <cacheFields count="2">
    <cacheField name="Year" numFmtId="0">
      <sharedItems containsSemiMixedTypes="0" containsString="0" containsNumber="1" containsInteger="1" minValue="2020" maxValue="2024" count="5">
        <n v="2020"/>
        <n v="2021"/>
        <n v="2022"/>
        <n v="2023"/>
        <n v="2024"/>
      </sharedItems>
    </cacheField>
    <cacheField name="Total Debt" numFmtId="0">
      <sharedItems containsSemiMixedTypes="0" containsString="0" containsNumber="1" minValue="5590070148480.4004" maxValue="6088025823934.2988"/>
    </cacheField>
  </cacheFields>
  <extLst>
    <ext xmlns:x14="http://schemas.microsoft.com/office/spreadsheetml/2009/9/main" uri="{725AE2AE-9491-48be-B2B4-4EB974FC3084}">
      <x14:pivotCacheDefinition pivotCacheId="1835630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External debt stocks, total (DOD, current US$)"/>
    <s v="DT.DOD.DECT.CD"/>
    <n v="2326232537961.7002"/>
    <n v="2724353650084.7998"/>
    <n v="2530502272052.6001"/>
    <n v="2447537483872.7998"/>
    <n v="2419835436491.7998"/>
    <x v="0"/>
    <n v="9.911172024349213E-3"/>
    <n v="12448461380463.699"/>
    <x v="0"/>
    <x v="0"/>
    <n v="5590070148480.4004"/>
    <s v="China"/>
    <n v="2.3262325379617002"/>
    <n v="4.0237980082643274E-2"/>
  </r>
  <r>
    <x v="1"/>
    <x v="1"/>
    <s v="External debt stocks, total (DOD, current US$)"/>
    <s v="DT.DOD.DECT.CD"/>
    <n v="564979321177.09998"/>
    <n v="611987174447.69995"/>
    <n v="615514904164.5"/>
    <n v="647556415555.5"/>
    <n v="716456023890.40002"/>
    <x v="1"/>
    <n v="6.1180464862534256E-2"/>
    <n v="3156493839235.1997"/>
    <x v="1"/>
    <x v="1"/>
    <n v="6088025823934.2988"/>
    <s v="India"/>
    <n v="0.56497932117709992"/>
    <n v="0.2681101715328405"/>
  </r>
  <r>
    <x v="2"/>
    <x v="2"/>
    <s v="External debt stocks, total (DOD, current US$)"/>
    <s v="DT.DOD.DECT.CD"/>
    <n v="616686384395"/>
    <n v="601471659897.80005"/>
    <n v="585861539733.19995"/>
    <n v="595981151218"/>
    <n v="591255026725"/>
    <x v="2"/>
    <n v="-1.0473062029342173E-2"/>
    <n v="2991255761969"/>
    <x v="2"/>
    <x v="2"/>
    <n v="5917450021033.5996"/>
    <s v="Mexico"/>
    <n v="0.61668638439500001"/>
    <n v="-4.1238720869359598E-2"/>
  </r>
  <r>
    <x v="3"/>
    <x v="3"/>
    <s v="External debt stocks, total (DOD, current US$)"/>
    <s v="DT.DOD.DECT.CD"/>
    <n v="549329010779"/>
    <n v="571193915507.80005"/>
    <n v="579257850288.19995"/>
    <n v="607387151485.09998"/>
    <n v="605463780812.80005"/>
    <x v="3"/>
    <n v="2.4622546847660631E-2"/>
    <n v="2912631708872.9004"/>
    <x v="2"/>
    <x v="3"/>
    <n v="5965151508434.0996"/>
    <s v="Brazil"/>
    <n v="0.54932901077899998"/>
    <n v="0.10218788546083828"/>
  </r>
  <r>
    <x v="4"/>
    <x v="4"/>
    <s v="External debt stocks, total (DOD, current US$)"/>
    <s v="DT.DOD.DECT.CD"/>
    <n v="429283302461.70001"/>
    <n v="434872791578.90002"/>
    <n v="455963245504.70001"/>
    <n v="499814231476.70001"/>
    <n v="514989218110.79999"/>
    <x v="4"/>
    <n v="4.6558562064642928E-2"/>
    <n v="2334922789132.7998"/>
    <x v="1"/>
    <x v="4"/>
    <n v="6047288887376.9004"/>
    <s v="Turkiye"/>
    <n v="0.42928330246169999"/>
    <n v="0.19964884531409541"/>
  </r>
  <r>
    <x v="5"/>
    <x v="5"/>
    <s v="External debt stocks, total (DOD, current US$)"/>
    <s v="DT.DOD.DECT.CD"/>
    <n v="417036407016.70001"/>
    <n v="417845089193.79999"/>
    <n v="395986001909.70001"/>
    <n v="399613483613.09998"/>
    <n v="421059208493.79999"/>
    <x v="5"/>
    <n v="2.4028664082913487E-3"/>
    <n v="2051540190227.0999"/>
    <x v="1"/>
    <x v="5"/>
    <s v="yearly"/>
    <s v="Indonesia"/>
    <n v="0.41703640701670003"/>
    <n v="9.646163762721283E-3"/>
  </r>
  <r>
    <x v="6"/>
    <x v="6"/>
    <s v="External debt stocks, total (DOD, current US$)"/>
    <s v="DT.DOD.DECT.CD"/>
    <n v="175427437079.70001"/>
    <n v="169447431525.10001"/>
    <n v="171731622090.89999"/>
    <n v="165839388756.29999"/>
    <n v="175895546993.5"/>
    <x v="6"/>
    <n v="6.6643256585185995E-4"/>
    <n v="858341426445.5"/>
    <x v="2"/>
    <x v="5"/>
    <s v="yearly"/>
    <s v="South Africa"/>
    <n v="0.17542743707970002"/>
    <n v="2.6683962417310843E-3"/>
  </r>
  <r>
    <x v="7"/>
    <x v="7"/>
    <s v="External debt stocks, total (DOD, current US$)"/>
    <s v="DT.DOD.DECT.CD"/>
    <n v="132538717154"/>
    <n v="145998330659.89999"/>
    <n v="163111452414.10001"/>
    <n v="168182236339.60001"/>
    <n v="155972716013.20001"/>
    <x v="7"/>
    <n v="4.1541233813662259E-2"/>
    <n v="765803452580.80005"/>
    <x v="2"/>
    <x v="5"/>
    <s v="yearly"/>
    <s v="Egypt, Arab Rep."/>
    <n v="0.13253871715400001"/>
    <n v="0.1768087043725606"/>
  </r>
  <r>
    <x v="8"/>
    <x v="8"/>
    <s v="External debt stocks, total (DOD, current US$)"/>
    <s v="DT.DOD.DECT.CD"/>
    <n v="98504239510.899994"/>
    <n v="106639207267.5"/>
    <n v="110775513064.5"/>
    <n v="124472460162.5"/>
    <n v="137018240525.2"/>
    <x v="8"/>
    <n v="8.6002602457290411E-2"/>
    <n v="577409660530.59998"/>
    <x v="1"/>
    <x v="5"/>
    <s v="yearly"/>
    <s v="Philippines"/>
    <n v="9.8504239510899996E-2"/>
    <n v="0.39098825802353648"/>
  </r>
  <r>
    <x v="9"/>
    <x v="9"/>
    <s v="External debt stocks, total (DOD, current US$)"/>
    <s v="DT.DOD.DECT.CD"/>
    <n v="87591245939.399994"/>
    <n v="96254706293.5"/>
    <n v="103064224482.60001"/>
    <n v="102472750412.89999"/>
    <n v="108757630161.5"/>
    <x v="9"/>
    <n v="5.5600914829231796E-2"/>
    <n v="498140557289.90002"/>
    <x v="2"/>
    <x v="5"/>
    <s v="yearly"/>
    <s v="Nigeria"/>
    <n v="8.75912459394E-2"/>
    <n v="0.24164953923299562"/>
  </r>
  <r>
    <x v="10"/>
    <x v="10"/>
    <s v="External debt stocks, total (DOD, current US$)"/>
    <s v="DT.DOD.DECT.CD"/>
    <n v="56397276775.800003"/>
    <n v="58115985989.699997"/>
    <n v="60682883622.400002"/>
    <n v="61658016751.5"/>
    <n v="60364730466.400002"/>
    <x v="10"/>
    <n v="1.7141286424932733E-2"/>
    <n v="297218893605.79999"/>
    <x v="2"/>
    <x v="5"/>
    <s v="yearly"/>
    <s v="Ecuador"/>
    <n v="5.6397276775800004E-2"/>
    <n v="7.0348320298728104E-2"/>
  </r>
  <r>
    <x v="11"/>
    <x v="11"/>
    <s v="External debt stocks, total (DOD, current US$)"/>
    <s v="DT.DOD.DECT.CD"/>
    <n v="40295305085.599998"/>
    <n v="46584318739.800003"/>
    <n v="43607006146.099998"/>
    <n v="41700706280.400002"/>
    <n v="37414621429.699997"/>
    <x v="11"/>
    <n v="-1.8372476867709486E-2"/>
    <n v="209601957681.59998"/>
    <x v="0"/>
    <x v="5"/>
    <s v="yearly"/>
    <s v="Ghana"/>
    <n v="4.0295305085599996E-2"/>
    <n v="-7.1489312459119408E-2"/>
  </r>
  <r>
    <x v="12"/>
    <x v="12"/>
    <s v="External debt stocks, total (DOD, current US$)"/>
    <s v="DT.DOD.DECT.CD"/>
    <n v="38038451074.099998"/>
    <n v="41219100011.5"/>
    <n v="41556299639.800003"/>
    <n v="42910026054.199997"/>
    <n v="42886127218.300003"/>
    <x v="12"/>
    <n v="3.0441880119230325E-2"/>
    <n v="206610003997.90002"/>
    <x v="2"/>
    <x v="5"/>
    <s v="yearly"/>
    <s v="Kenya"/>
    <n v="3.8038451074099998E-2"/>
    <n v="0.12744147059922581"/>
  </r>
  <r>
    <x v="13"/>
    <x v="13"/>
    <s v="External debt stocks, total (DOD, current US$)"/>
    <s v="DT.DOD.DECT.CD"/>
    <n v="26328297576.5"/>
    <n v="25360186233.299999"/>
    <n v="22722727263.799999"/>
    <n v="20318433379.400002"/>
    <n v="17517006333"/>
    <x v="13"/>
    <n v="-9.6851266468630959E-2"/>
    <n v="112246650786"/>
    <x v="0"/>
    <x v="5"/>
    <s v="yearly"/>
    <s v="Iraq"/>
    <n v="2.6328297576500001E-2"/>
    <n v="-0.33466999595768565"/>
  </r>
  <r>
    <x v="14"/>
    <x v="14"/>
    <s v="External debt stocks, total (DOD, current US$)"/>
    <s v="DT.DOD.DECT.CD"/>
    <n v="13034165720.299999"/>
    <n v="14111057739.5"/>
    <n v="14120782697.4"/>
    <n v="14548534104.299999"/>
    <n v="14403740329.700001"/>
    <x v="14"/>
    <n v="2.5293044620344762E-2"/>
    <n v="70218280591.199997"/>
    <x v="2"/>
    <x v="5"/>
    <s v="yearly"/>
    <s v="Zimbabwe"/>
    <n v="1.3034165720299999E-2"/>
    <n v="0.10507574008108275"/>
  </r>
  <r>
    <x v="15"/>
    <x v="15"/>
    <s v="External debt stocks, total (DOD, current US$)"/>
    <s v="DT.DOD.DECT.CD"/>
    <n v="8516297040.3000002"/>
    <n v="10440535052.1"/>
    <n v="10927329920.1"/>
    <n v="12540297201.5"/>
    <n v="14162933686.6"/>
    <x v="15"/>
    <n v="0.13560057884761356"/>
    <n v="56587392900.599998"/>
    <x v="1"/>
    <x v="5"/>
    <s v="yearly"/>
    <s v="Benin"/>
    <n v="8.5162970403000002E-3"/>
    <n v="0.66303894986042999"/>
  </r>
  <r>
    <x v="16"/>
    <x v="16"/>
    <s v="External debt stocks, total (DOD, current US$)"/>
    <s v="DT.DOD.DECT.CD"/>
    <n v="3040072312.4000001"/>
    <n v="3555784339.5999999"/>
    <n v="3393247241.6999998"/>
    <n v="3428116975.5"/>
    <n v="3344095867.0999999"/>
    <x v="16"/>
    <n v="2.4114938834041366E-2"/>
    <n v="16761316736.300001"/>
    <x v="2"/>
    <x v="5"/>
    <s v="yearly"/>
    <s v="Afghanistan"/>
    <n v="3.0400723124E-3"/>
    <n v="0.10000536943148794"/>
  </r>
  <r>
    <x v="17"/>
    <x v="17"/>
    <s v="External debt stocks, total (DOD, current US$)"/>
    <s v="DT.DOD.DECT.CD"/>
    <n v="2568770933.8000002"/>
    <n v="3544978710.1999998"/>
    <n v="3281657367.6999998"/>
    <n v="3439839395.5"/>
    <n v="4294139883.4000001"/>
    <x v="17"/>
    <n v="0.137071311377303"/>
    <n v="17129386290.6"/>
    <x v="1"/>
    <x v="5"/>
    <s v="yearly"/>
    <s v="Togo"/>
    <n v="2.5687709338000002E-3"/>
    <n v="0.67167100300673754"/>
  </r>
  <r>
    <x v="18"/>
    <x v="18"/>
    <s v="External debt stocks, total (DOD, current US$)"/>
    <s v="DT.DOD.DECT.CD"/>
    <n v="2195562997.5"/>
    <n v="2531912460.5999999"/>
    <n v="2401417378.0999999"/>
    <n v="2403103683.5"/>
    <n v="2329744049.4000001"/>
    <x v="18"/>
    <n v="1.4940486458165925E-2"/>
    <n v="11861740569.1"/>
    <x v="2"/>
    <x v="5"/>
    <s v="yearly"/>
    <s v="Sierra Leone"/>
    <n v="2.1955629975E-3"/>
    <n v="6.111464442276842E-2"/>
  </r>
  <r>
    <x v="19"/>
    <x v="19"/>
    <s v="External debt stocks, total (DOD, current US$)"/>
    <s v="DT.DOD.DECT.CD"/>
    <n v="2047345488.9000001"/>
    <n v="2498008201.1999998"/>
    <n v="2988044051.5"/>
    <n v="3347681715.8000002"/>
    <n v="3868919895.3000002"/>
    <x v="19"/>
    <n v="0.17246436102972562"/>
    <n v="14749999352.700001"/>
    <x v="1"/>
    <x v="5"/>
    <s v="yearly"/>
    <s v="Fiji"/>
    <n v="2.0473454889000002E-3"/>
    <n v="0.889724971323085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590070148480.4004"/>
  </r>
  <r>
    <x v="1"/>
    <n v="6088025823934.2988"/>
  </r>
  <r>
    <x v="2"/>
    <n v="5917450021033.5996"/>
  </r>
  <r>
    <x v="3"/>
    <n v="5965151508434.0996"/>
  </r>
  <r>
    <x v="4"/>
    <n v="6047288887376.9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65EDC3-F7A5-4DD1-85FC-4A2EDBE9C7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53:K59" firstHeaderRow="1" firstDataRow="1" firstDataCol="1"/>
  <pivotFields count="18">
    <pivotField showAll="0"/>
    <pivotField showAll="0"/>
    <pivotField showAll="0"/>
    <pivotField showAll="0"/>
    <pivotField showAll="0"/>
    <pivotField showAll="0"/>
    <pivotField showAll="0"/>
    <pivotField showAll="0"/>
    <pivotField showAll="0"/>
    <pivotField numFmtId="9" showAll="0"/>
    <pivotField numFmtId="10" showAll="0"/>
    <pivotField showAll="0"/>
    <pivotField showAll="0"/>
    <pivotField axis="axisRow" showAll="0">
      <items count="7">
        <item x="0"/>
        <item x="1"/>
        <item x="2"/>
        <item x="3"/>
        <item x="4"/>
        <item h="1" x="5"/>
        <item t="default"/>
      </items>
    </pivotField>
    <pivotField dataField="1" showAll="0"/>
    <pivotField showAll="0"/>
    <pivotField showAll="0"/>
    <pivotField showAll="0"/>
  </pivotFields>
  <rowFields count="1">
    <field x="13"/>
  </rowFields>
  <rowItems count="6">
    <i>
      <x/>
    </i>
    <i>
      <x v="1"/>
    </i>
    <i>
      <x v="2"/>
    </i>
    <i>
      <x v="3"/>
    </i>
    <i>
      <x v="4"/>
    </i>
    <i t="grand">
      <x/>
    </i>
  </rowItems>
  <colItems count="1">
    <i/>
  </colItems>
  <dataFields count="1">
    <dataField name="Sum of Total Debt" fld="14" baseField="1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01981-0A57-415B-80D2-C8ACE7FA5C59}" name="PivotTable1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M30:O52" firstHeaderRow="1" firstDataRow="2" firstDataCol="1"/>
  <pivotFields count="18">
    <pivotField axis="axisRow" compact="0" outline="0" showAll="0" includeNewItemsInFilter="1">
      <items count="22">
        <item x="16"/>
        <item x="15"/>
        <item x="3"/>
        <item x="0"/>
        <item x="10"/>
        <item x="7"/>
        <item x="19"/>
        <item x="11"/>
        <item x="1"/>
        <item x="5"/>
        <item x="13"/>
        <item x="12"/>
        <item x="2"/>
        <item x="9"/>
        <item x="8"/>
        <item x="18"/>
        <item x="6"/>
        <item x="17"/>
        <item x="4"/>
        <item x="14"/>
        <item m="1" x="2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items count="21">
        <item x="13"/>
        <item x="11"/>
        <item x="2"/>
        <item x="6"/>
        <item x="5"/>
        <item x="0"/>
        <item x="18"/>
        <item x="10"/>
        <item x="16"/>
        <item x="3"/>
        <item x="14"/>
        <item x="12"/>
        <item x="7"/>
        <item x="4"/>
        <item x="9"/>
        <item x="1"/>
        <item x="8"/>
        <item x="15"/>
        <item x="17"/>
        <item x="19"/>
        <item t="default"/>
      </items>
    </pivotField>
    <pivotField compact="0" numFmtId="1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 Change" fld="9" baseField="0" baseItem="0" numFmtId="1"/>
    <dataField name="Sum of 2024" fld="8"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6D59C-8F02-4A3F-A21E-2B21FCFC3751}" name="PivotTable3"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50:B51" firstHeaderRow="1" firstDataRow="1" firstDataCol="1"/>
  <pivotFields count="18">
    <pivotField compact="0" outline="0" showAll="0" includeNewItemsInFilter="1">
      <items count="22">
        <item x="16"/>
        <item x="15"/>
        <item x="3"/>
        <item x="0"/>
        <item x="10"/>
        <item x="7"/>
        <item x="19"/>
        <item x="11"/>
        <item x="1"/>
        <item x="5"/>
        <item x="13"/>
        <item x="12"/>
        <item x="2"/>
        <item x="9"/>
        <item x="8"/>
        <item x="18"/>
        <item x="6"/>
        <item x="17"/>
        <item x="4"/>
        <item x="14"/>
        <item m="1" x="2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9" outline="0" showAll="0" includeNewItemsInFilter="1">
      <items count="21">
        <item x="13"/>
        <item x="11"/>
        <item x="2"/>
        <item x="6"/>
        <item x="5"/>
        <item x="0"/>
        <item x="18"/>
        <item x="10"/>
        <item x="16"/>
        <item x="3"/>
        <item x="14"/>
        <item x="12"/>
        <item x="7"/>
        <item x="4"/>
        <item x="9"/>
        <item x="1"/>
        <item x="8"/>
        <item x="15"/>
        <item x="17"/>
        <item x="19"/>
        <item t="default"/>
      </items>
    </pivotField>
    <pivotField compact="0" numFmtId="1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Sum of 2024" fld="8" baseField="0" baseItem="0"/>
  </dataFields>
  <formats count="1">
    <format>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A1AB3-CDA1-4A15-AA39-0A7C6E0021E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9:B115"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Total Debt" fld="1" baseField="0" baseItem="0"/>
  </dataFields>
  <chartFormats count="5">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0" format="4">
      <pivotArea type="data" outline="0" fieldPosition="0">
        <references count="2">
          <reference field="4294967294" count="1" selected="0">
            <x v="0"/>
          </reference>
          <reference field="0" count="1" selected="0">
            <x v="2"/>
          </reference>
        </references>
      </pivotArea>
    </chartFormat>
    <chartFormat chart="1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46F390-46B8-494F-A16B-65E31780DB0E}"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0:B42" firstHeaderRow="2" firstDataRow="2" firstDataCol="1"/>
  <pivotFields count="18">
    <pivotField axis="axisRow" compact="0" outline="0" showAll="0" measureFilter="1" includeNewItemsInFilter="1" sortType="descending" rankBy="0">
      <items count="22">
        <item x="16"/>
        <item x="15"/>
        <item x="3"/>
        <item x="0"/>
        <item x="10"/>
        <item x="7"/>
        <item x="19"/>
        <item x="11"/>
        <item x="1"/>
        <item x="5"/>
        <item x="13"/>
        <item x="12"/>
        <item x="2"/>
        <item x="9"/>
        <item x="8"/>
        <item x="18"/>
        <item x="6"/>
        <item x="17"/>
        <item x="4"/>
        <item x="14"/>
        <item m="1" x="20"/>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9" outline="0" showAll="0" includeNewItemsInFilter="1">
      <items count="21">
        <item x="13"/>
        <item x="11"/>
        <item x="2"/>
        <item x="6"/>
        <item x="5"/>
        <item x="0"/>
        <item x="18"/>
        <item x="10"/>
        <item x="16"/>
        <item x="3"/>
        <item x="14"/>
        <item x="12"/>
        <item x="7"/>
        <item x="4"/>
        <item x="9"/>
        <item x="1"/>
        <item x="8"/>
        <item x="15"/>
        <item x="17"/>
        <item x="19"/>
        <item t="default"/>
      </items>
    </pivotField>
    <pivotField compact="0" numFmtId="1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0"/>
  </rowFields>
  <rowItems count="11">
    <i>
      <x v="6"/>
    </i>
    <i>
      <x v="17"/>
    </i>
    <i>
      <x v="1"/>
    </i>
    <i>
      <x v="14"/>
    </i>
    <i>
      <x v="8"/>
    </i>
    <i>
      <x v="13"/>
    </i>
    <i>
      <x v="18"/>
    </i>
    <i>
      <x v="5"/>
    </i>
    <i>
      <x v="11"/>
    </i>
    <i>
      <x v="19"/>
    </i>
    <i t="grand">
      <x/>
    </i>
  </rowItems>
  <colItems count="1">
    <i/>
  </colItems>
  <dataFields count="1">
    <dataField name="Sum of % Change" fld="9" baseField="0" baseItem="0" numFmtId="9"/>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s>
  <pivotTableStyleInfo showRowHeaders="1" showColHeaders="1" showRowStripes="0" showColStripes="0" showLastColumn="1"/>
  <filters count="1">
    <filter fld="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349795-AD00-44EA-9FD5-A58C270B3F05}" name="PivotTable1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1:B13" firstHeaderRow="2" firstDataRow="2" firstDataCol="1"/>
  <pivotFields count="18">
    <pivotField axis="axisRow" compact="0" outline="0" showAll="0" measureFilter="1" includeNewItemsInFilter="1" sortType="descending" rankBy="0">
      <items count="22">
        <item x="16"/>
        <item x="15"/>
        <item x="3"/>
        <item x="0"/>
        <item x="10"/>
        <item x="7"/>
        <item x="19"/>
        <item x="11"/>
        <item x="1"/>
        <item x="5"/>
        <item x="13"/>
        <item x="12"/>
        <item x="2"/>
        <item x="9"/>
        <item x="8"/>
        <item x="18"/>
        <item x="6"/>
        <item x="17"/>
        <item x="4"/>
        <item x="14"/>
        <item m="1" x="20"/>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21">
        <item x="13"/>
        <item x="11"/>
        <item x="2"/>
        <item x="6"/>
        <item x="5"/>
        <item x="0"/>
        <item x="18"/>
        <item x="10"/>
        <item x="16"/>
        <item x="3"/>
        <item x="14"/>
        <item x="12"/>
        <item x="7"/>
        <item x="4"/>
        <item x="9"/>
        <item x="1"/>
        <item x="8"/>
        <item x="15"/>
        <item x="17"/>
        <item x="19"/>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s>
  <rowFields count="1">
    <field x="0"/>
  </rowFields>
  <rowItems count="11">
    <i>
      <x v="3"/>
    </i>
    <i>
      <x v="8"/>
    </i>
    <i>
      <x v="2"/>
    </i>
    <i>
      <x v="12"/>
    </i>
    <i>
      <x v="18"/>
    </i>
    <i>
      <x v="9"/>
    </i>
    <i>
      <x v="16"/>
    </i>
    <i>
      <x v="5"/>
    </i>
    <i>
      <x v="14"/>
    </i>
    <i>
      <x v="13"/>
    </i>
    <i t="grand">
      <x/>
    </i>
  </rowItems>
  <colItems count="1">
    <i/>
  </colItems>
  <dataFields count="1">
    <dataField name="Sum of 2024" fld="8"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s>
  <pivotTableStyleInfo showRowHeaders="1" showColHeaders="1" showRowStripes="0" showColStripes="0" showLastColumn="1"/>
  <filters count="1">
    <filter fld="0"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F63EA0-1A68-4506-9824-61E6C8E7FDBF}" autoFormatId="16" applyNumberFormats="0" applyBorderFormats="0" applyFontFormats="0" applyPatternFormats="0" applyAlignmentFormats="0" applyWidthHeightFormats="0">
  <queryTableRefresh nextId="21" unboundColumnsRight="9">
    <queryTableFields count="18">
      <queryTableField id="1" name="Country Name" tableColumnId="1"/>
      <queryTableField id="2" name="Country Code" tableColumnId="2"/>
      <queryTableField id="3" name="Indicator Name" tableColumnId="3"/>
      <queryTableField id="4" name="Indicator Code" tableColumnId="4"/>
      <queryTableField id="5" name="2020" tableColumnId="5"/>
      <queryTableField id="6" name="2021" tableColumnId="6"/>
      <queryTableField id="7" name="2022" tableColumnId="7"/>
      <queryTableField id="8" name="2023" tableColumnId="8"/>
      <queryTableField id="9" name="2024" tableColumnId="9"/>
      <queryTableField id="10" dataBound="0" tableColumnId="10"/>
      <queryTableField id="11" dataBound="0" tableColumnId="11"/>
      <queryTableField id="12" dataBound="0" tableColumnId="12"/>
      <queryTableField id="13" dataBound="0" tableColumnId="13"/>
      <queryTableField id="15" dataBound="0" tableColumnId="15"/>
      <queryTableField id="16" dataBound="0" tableColumnId="16"/>
      <queryTableField id="18" dataBound="0" tableColumnId="17"/>
      <queryTableField id="19" dataBound="0" tableColumnId="18"/>
      <queryTableField id="20"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B38CF696-3559-4125-90C3-49F8335B7DAE}" sourceName="Country Name">
  <pivotTables>
    <pivotTable tabId="11" name="PivotTable11"/>
    <pivotTable tabId="11" name="PivotTable15"/>
    <pivotTable tabId="11" name="PivotTable2"/>
    <pivotTable tabId="11" name="PivotTable3"/>
  </pivotTables>
  <data>
    <tabular pivotCacheId="691330125">
      <items count="21">
        <i x="16" s="1"/>
        <i x="15" s="1"/>
        <i x="3" s="1"/>
        <i x="0" s="1"/>
        <i x="10" s="1"/>
        <i x="7" s="1"/>
        <i x="19" s="1"/>
        <i x="11" s="1"/>
        <i x="1" s="1"/>
        <i x="5" s="1"/>
        <i x="13" s="1"/>
        <i x="12" s="1"/>
        <i x="2" s="1"/>
        <i x="9" s="1"/>
        <i x="8" s="1"/>
        <i x="18" s="1"/>
        <i x="6" s="1"/>
        <i x="17" s="1"/>
        <i x="4" s="1"/>
        <i x="14"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Change" xr10:uid="{C36B6BE9-83C6-4E6A-82FC-DCE3F14EF93A}" sourceName="% Change">
  <pivotTables>
    <pivotTable tabId="11" name="PivotTable11"/>
    <pivotTable tabId="11" name="PivotTable15"/>
    <pivotTable tabId="11" name="PivotTable2"/>
    <pivotTable tabId="11" name="PivotTable3"/>
  </pivotTables>
  <data>
    <tabular pivotCacheId="691330125">
      <items count="20">
        <i x="13" s="1"/>
        <i x="11" s="1"/>
        <i x="2" s="1"/>
        <i x="6" s="1"/>
        <i x="5" s="1"/>
        <i x="0" s="1"/>
        <i x="18" s="1"/>
        <i x="10" s="1"/>
        <i x="16" s="1"/>
        <i x="3" s="1"/>
        <i x="14" s="1"/>
        <i x="12" s="1"/>
        <i x="7" s="1"/>
        <i x="4" s="1"/>
        <i x="9" s="1"/>
        <i x="1" s="1"/>
        <i x="8" s="1"/>
        <i x="15" s="1"/>
        <i x="17"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7821153-52DB-409A-BF63-CECB745075BA}" sourceName="Year">
  <pivotTables>
    <pivotTable tabId="11" name="PivotTable5"/>
  </pivotTables>
  <data>
    <tabular pivotCacheId="691330125" showMissing="0" crossFilter="none">
      <items count="6">
        <i x="0" s="1"/>
        <i x="1" s="1"/>
        <i x="2" s="1"/>
        <i x="3" s="1"/>
        <i x="4" s="1"/>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6D75E7-0B8C-4FC5-8F40-50BDECF20079}" sourceName="Year">
  <pivotTables>
    <pivotTable tabId="11" name="PivotTable6"/>
  </pivotTables>
  <data>
    <tabular pivotCacheId="183563023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C53026D1-6E3D-43F7-A636-7B02C2EB7D3D}" cache="Slicer_Country_Name" caption="Country Name" rowHeight="251883"/>
  <slicer name="% Change" xr10:uid="{BC3BE934-6BB0-4192-B066-F31BD54EE70A}" cache="Slicer___Change" caption="% Change" rowHeight="251883"/>
  <slicer name="Year 1" xr10:uid="{CA3A32EA-6BB9-4156-B212-0AA2F6515B22}" cache="Slicer_Year1" caption="Year" rowHeight="251883"/>
  <slicer name="Year 3" xr10:uid="{13C7A292-79D9-4F70-8027-E19956F77158}"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1" xr10:uid="{EFED36EE-0C0E-406F-9E9C-2019DA625D14}" cache="Slicer_Country_Name" caption="Country Name" columnCount="2" style="Slicer Style 2" rowHeight="396000"/>
  <slicer name="% Change 1" xr10:uid="{243FA1E3-7D21-4A32-A4E8-F0FED4F616F8}" cache="Slicer___Change" caption="% Change" columnCount="2" style="Slicer Style 2" rowHeight="396000"/>
  <slicer name="Year 4" xr10:uid="{18E441C0-6761-4E65-AB27-378B63DE19F3}" cache="Slicer_Year" caption="Year" columnCount="2" style="Slicer Style 2" rowHeight="50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43459-BA1E-45C8-AA8B-D5564D4D77F5}" name="Table1" displayName="Table1" ref="A4:BR270" totalsRowShown="0">
  <autoFilter ref="A4:BR270" xr:uid="{588E4F20-02DC-4E4F-8E1A-1D2B0A3D3B7D}"/>
  <tableColumns count="70">
    <tableColumn id="1" xr3:uid="{00000000-0010-0000-0300-000001000000}" name="Country Name"/>
    <tableColumn id="2" xr3:uid="{00000000-0010-0000-0300-000002000000}" name="Country Code"/>
    <tableColumn id="3" xr3:uid="{00000000-0010-0000-0300-000003000000}" name="Indicator Name"/>
    <tableColumn id="4" xr3:uid="{00000000-0010-0000-0300-000004000000}" name="Indicator Code"/>
    <tableColumn id="5" xr3:uid="{00000000-0010-0000-0300-000005000000}" name="1960"/>
    <tableColumn id="6" xr3:uid="{00000000-0010-0000-0300-000006000000}" name="1961"/>
    <tableColumn id="7" xr3:uid="{00000000-0010-0000-0300-000007000000}" name="1962"/>
    <tableColumn id="8" xr3:uid="{00000000-0010-0000-0300-000008000000}" name="1963"/>
    <tableColumn id="9" xr3:uid="{00000000-0010-0000-0300-000009000000}" name="1964"/>
    <tableColumn id="10" xr3:uid="{00000000-0010-0000-0300-00000A000000}" name="1965"/>
    <tableColumn id="11" xr3:uid="{00000000-0010-0000-0300-00000B000000}" name="1966"/>
    <tableColumn id="12" xr3:uid="{00000000-0010-0000-0300-00000C000000}" name="1967"/>
    <tableColumn id="13" xr3:uid="{00000000-0010-0000-0300-00000D000000}" name="1968"/>
    <tableColumn id="14" xr3:uid="{00000000-0010-0000-0300-00000E000000}" name="1969"/>
    <tableColumn id="15" xr3:uid="{00000000-0010-0000-0300-00000F000000}" name="1970"/>
    <tableColumn id="16" xr3:uid="{00000000-0010-0000-0300-000010000000}" name="1971"/>
    <tableColumn id="17" xr3:uid="{00000000-0010-0000-0300-000011000000}" name="1972"/>
    <tableColumn id="18" xr3:uid="{00000000-0010-0000-0300-000012000000}" name="1973"/>
    <tableColumn id="19" xr3:uid="{00000000-0010-0000-0300-000013000000}" name="1974"/>
    <tableColumn id="20" xr3:uid="{00000000-0010-0000-0300-000014000000}" name="1975"/>
    <tableColumn id="21" xr3:uid="{00000000-0010-0000-0300-000015000000}" name="1976"/>
    <tableColumn id="22" xr3:uid="{00000000-0010-0000-0300-000016000000}" name="1977"/>
    <tableColumn id="23" xr3:uid="{00000000-0010-0000-0300-000017000000}" name="1978"/>
    <tableColumn id="24" xr3:uid="{00000000-0010-0000-0300-000018000000}" name="1979"/>
    <tableColumn id="25" xr3:uid="{00000000-0010-0000-0300-000019000000}" name="1980"/>
    <tableColumn id="26" xr3:uid="{00000000-0010-0000-0300-00001A000000}" name="1981"/>
    <tableColumn id="27" xr3:uid="{00000000-0010-0000-0300-00001B000000}" name="1982"/>
    <tableColumn id="28" xr3:uid="{00000000-0010-0000-0300-00001C000000}" name="1983"/>
    <tableColumn id="29" xr3:uid="{00000000-0010-0000-0300-00001D000000}" name="1984"/>
    <tableColumn id="30" xr3:uid="{00000000-0010-0000-0300-00001E000000}" name="1985"/>
    <tableColumn id="31" xr3:uid="{00000000-0010-0000-0300-00001F000000}" name="1986"/>
    <tableColumn id="32" xr3:uid="{00000000-0010-0000-0300-000020000000}" name="1987"/>
    <tableColumn id="33" xr3:uid="{00000000-0010-0000-0300-000021000000}" name="1988"/>
    <tableColumn id="34" xr3:uid="{00000000-0010-0000-0300-000022000000}" name="1989"/>
    <tableColumn id="35" xr3:uid="{00000000-0010-0000-0300-000023000000}" name="1990"/>
    <tableColumn id="36" xr3:uid="{00000000-0010-0000-0300-000024000000}" name="1991"/>
    <tableColumn id="37" xr3:uid="{00000000-0010-0000-0300-000025000000}" name="1992"/>
    <tableColumn id="38" xr3:uid="{00000000-0010-0000-0300-000026000000}" name="1993"/>
    <tableColumn id="39" xr3:uid="{00000000-0010-0000-0300-000027000000}" name="1994"/>
    <tableColumn id="40" xr3:uid="{00000000-0010-0000-0300-000028000000}" name="1995"/>
    <tableColumn id="41" xr3:uid="{00000000-0010-0000-0300-000029000000}" name="1996"/>
    <tableColumn id="42" xr3:uid="{00000000-0010-0000-0300-00002A000000}" name="1997"/>
    <tableColumn id="43" xr3:uid="{00000000-0010-0000-0300-00002B000000}" name="1998"/>
    <tableColumn id="44" xr3:uid="{00000000-0010-0000-0300-00002C000000}" name="1999"/>
    <tableColumn id="45" xr3:uid="{00000000-0010-0000-0300-00002D000000}" name="2000"/>
    <tableColumn id="46" xr3:uid="{00000000-0010-0000-0300-00002E000000}" name="2001"/>
    <tableColumn id="47" xr3:uid="{00000000-0010-0000-0300-00002F000000}" name="2002"/>
    <tableColumn id="48" xr3:uid="{00000000-0010-0000-0300-000030000000}" name="2003"/>
    <tableColumn id="49" xr3:uid="{00000000-0010-0000-0300-000031000000}" name="2004"/>
    <tableColumn id="50" xr3:uid="{00000000-0010-0000-0300-000032000000}" name="2005"/>
    <tableColumn id="51" xr3:uid="{00000000-0010-0000-0300-000033000000}" name="2006"/>
    <tableColumn id="52" xr3:uid="{00000000-0010-0000-0300-000034000000}" name="2007"/>
    <tableColumn id="53" xr3:uid="{00000000-0010-0000-0300-000035000000}" name="2008"/>
    <tableColumn id="54" xr3:uid="{00000000-0010-0000-0300-000036000000}" name="2009"/>
    <tableColumn id="55" xr3:uid="{00000000-0010-0000-0300-000037000000}" name="2010"/>
    <tableColumn id="56" xr3:uid="{00000000-0010-0000-0300-000038000000}" name="2011"/>
    <tableColumn id="57" xr3:uid="{00000000-0010-0000-0300-000039000000}" name="2012"/>
    <tableColumn id="58" xr3:uid="{00000000-0010-0000-0300-00003A000000}" name="2013"/>
    <tableColumn id="59" xr3:uid="{00000000-0010-0000-0300-00003B000000}" name="2014"/>
    <tableColumn id="60" xr3:uid="{00000000-0010-0000-0300-00003C000000}" name="2015"/>
    <tableColumn id="61" xr3:uid="{00000000-0010-0000-0300-00003D000000}" name="2016"/>
    <tableColumn id="62" xr3:uid="{00000000-0010-0000-0300-00003E000000}" name="2017"/>
    <tableColumn id="63" xr3:uid="{00000000-0010-0000-0300-00003F000000}" name="2018"/>
    <tableColumn id="64" xr3:uid="{00000000-0010-0000-0300-000040000000}" name="2019"/>
    <tableColumn id="65" xr3:uid="{00000000-0010-0000-0300-000041000000}" name="2020"/>
    <tableColumn id="66" xr3:uid="{00000000-0010-0000-0300-000042000000}" name="2021"/>
    <tableColumn id="67" xr3:uid="{00000000-0010-0000-0300-000043000000}" name="2022"/>
    <tableColumn id="68" xr3:uid="{00000000-0010-0000-0300-000044000000}" name="2023"/>
    <tableColumn id="69" xr3:uid="{00000000-0010-0000-0300-000045000000}" name="2024"/>
    <tableColumn id="70" xr3:uid="{00000000-0010-0000-0300-000046000000}" name="20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B47C0B-C437-47C2-A13F-DF4916973A5C}" name="Table1_1" displayName="Table1_1" ref="A1:R22" tableType="queryTable" totalsRowCount="1">
  <autoFilter ref="A1:R21" xr:uid="{A9ADE861-91BD-4ACF-9BD0-F550275D87C6}"/>
  <sortState xmlns:xlrd2="http://schemas.microsoft.com/office/spreadsheetml/2017/richdata2" ref="A3:R21">
    <sortCondition descending="1" ref="J2"/>
  </sortState>
  <tableColumns count="18">
    <tableColumn id="1" xr3:uid="{00000000-0010-0000-0100-000001000000}" uniqueName="1" name="Country Name" queryTableFieldId="1"/>
    <tableColumn id="2" xr3:uid="{00000000-0010-0000-0100-000002000000}" uniqueName="2" name="Country Code" queryTableFieldId="2"/>
    <tableColumn id="3" xr3:uid="{00000000-0010-0000-0100-000003000000}" uniqueName="3" name="Indicator Name" queryTableFieldId="3"/>
    <tableColumn id="4" xr3:uid="{00000000-0010-0000-0100-000004000000}" uniqueName="4" name="Indicator Code" queryTableFieldId="4"/>
    <tableColumn id="5" xr3:uid="{00000000-0010-0000-0100-000005000000}" uniqueName="5" name="2020" queryTableFieldId="5"/>
    <tableColumn id="6" xr3:uid="{00000000-0010-0000-0100-000006000000}" uniqueName="6" name="2021" queryTableFieldId="6"/>
    <tableColumn id="7" xr3:uid="{00000000-0010-0000-0100-000007000000}" uniqueName="7" name="2022" queryTableFieldId="7"/>
    <tableColumn id="8" xr3:uid="{00000000-0010-0000-0100-000008000000}" uniqueName="8" name="2023" queryTableFieldId="8" dataDxfId="3"/>
    <tableColumn id="9" xr3:uid="{00000000-0010-0000-0100-000009000000}" uniqueName="9" name="2024" totalsRowFunction="custom" queryTableFieldId="9" dataDxfId="2" totalsRowDxfId="0">
      <totalsRowFormula>SUM(I2:I21)</totalsRowFormula>
    </tableColumn>
    <tableColumn id="10" xr3:uid="{00000000-0010-0000-0100-00000A000000}" uniqueName="10" name="% Change" totalsRowFunction="custom" queryTableFieldId="10">
      <calculatedColumnFormula>(I2-E2)/E2</calculatedColumnFormula>
      <totalsRowFormula>MAX(J2:J21)</totalsRowFormula>
    </tableColumn>
    <tableColumn id="11" xr3:uid="{00000000-0010-0000-0100-00000B000000}" uniqueName="11" name="CAGR" totalsRowFunction="custom" queryTableFieldId="11">
      <calculatedColumnFormula>(I2/E2)^(1/4)-1</calculatedColumnFormula>
      <totalsRowFormula>MAX(K2:K21)</totalsRowFormula>
    </tableColumn>
    <tableColumn id="12" xr3:uid="{00000000-0010-0000-0100-00000C000000}" uniqueName="12" name="SUM" queryTableFieldId="12" dataDxfId="1">
      <calculatedColumnFormula>SUM(B2:I2)</calculatedColumnFormula>
    </tableColumn>
    <tableColumn id="13" xr3:uid="{00000000-0010-0000-0100-00000D000000}" uniqueName="13" name="Path" queryTableFieldId="13">
      <calculatedColumnFormula>IF(AND(H2&lt;G2,I2&lt;=H2),"Stabilizer",IF(AND(I2&gt;H2,H2&gt;G2),"Spiraler","Slow Climber"))</calculatedColumnFormula>
    </tableColumn>
    <tableColumn id="15" xr3:uid="{00000000-0010-0000-0100-00000F000000}" uniqueName="15" name="Year" queryTableFieldId="15"/>
    <tableColumn id="16" xr3:uid="{00000000-0010-0000-0100-000010000000}" uniqueName="16" name="Total Debt" queryTableFieldId="16">
      <calculatedColumnFormula>SUM(E2:E21)</calculatedColumnFormula>
    </tableColumn>
    <tableColumn id="17" xr3:uid="{00000000-0010-0000-0100-000011000000}" uniqueName="17" name="COUNTRY" queryTableFieldId="18">
      <calculatedColumnFormula>A2</calculatedColumnFormula>
    </tableColumn>
    <tableColumn id="18" xr3:uid="{00000000-0010-0000-0100-000012000000}" uniqueName="18" name="DEBT" queryTableFieldId="19">
      <calculatedColumnFormula>E2/1000000000000</calculatedColumnFormula>
    </tableColumn>
    <tableColumn id="19" xr3:uid="{00000000-0010-0000-0100-000013000000}" uniqueName="19" name="%CHANGE" queryTableFieldId="20">
      <calculatedColumnFormula>J2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EBF6-B6C7-4CE0-A5F4-C288B1FE4442}">
  <dimension ref="A1:BR270"/>
  <sheetViews>
    <sheetView topLeftCell="D248" workbookViewId="0">
      <selection activeCell="G253" activeCellId="1" sqref="H24 G253"/>
    </sheetView>
  </sheetViews>
  <sheetFormatPr defaultRowHeight="14.5" x14ac:dyDescent="0.35"/>
  <cols>
    <col min="1" max="1" width="60.1796875" bestFit="1" customWidth="1"/>
    <col min="2" max="2" width="25.6328125" bestFit="1" customWidth="1"/>
    <col min="3" max="3" width="37.7265625" bestFit="1" customWidth="1"/>
    <col min="4" max="4" width="15.08984375" customWidth="1"/>
    <col min="5" max="14" width="6.81640625" customWidth="1"/>
    <col min="15" max="69" width="12" bestFit="1" customWidth="1"/>
    <col min="70" max="70" width="6.81640625" customWidth="1"/>
  </cols>
  <sheetData>
    <row r="1" spans="1:70" x14ac:dyDescent="0.35">
      <c r="A1" t="s">
        <v>522</v>
      </c>
      <c r="B1" t="s">
        <v>331</v>
      </c>
    </row>
    <row r="2" spans="1:70" x14ac:dyDescent="0.35">
      <c r="A2" t="s">
        <v>52</v>
      </c>
      <c r="B2">
        <v>46120</v>
      </c>
    </row>
    <row r="4" spans="1:70" x14ac:dyDescent="0.35">
      <c r="A4" t="s">
        <v>587</v>
      </c>
      <c r="B4" t="s">
        <v>390</v>
      </c>
      <c r="C4" t="s">
        <v>184</v>
      </c>
      <c r="D4" t="s">
        <v>594</v>
      </c>
      <c r="E4" t="s">
        <v>537</v>
      </c>
      <c r="F4" t="s">
        <v>109</v>
      </c>
      <c r="G4" t="s">
        <v>156</v>
      </c>
      <c r="H4" t="s">
        <v>207</v>
      </c>
      <c r="I4" t="s">
        <v>260</v>
      </c>
      <c r="J4" t="s">
        <v>442</v>
      </c>
      <c r="K4" t="s">
        <v>494</v>
      </c>
      <c r="L4" t="s">
        <v>539</v>
      </c>
      <c r="M4" t="s">
        <v>580</v>
      </c>
      <c r="N4" t="s">
        <v>158</v>
      </c>
      <c r="O4" t="s">
        <v>593</v>
      </c>
      <c r="P4" t="s">
        <v>27</v>
      </c>
      <c r="Q4" t="s">
        <v>224</v>
      </c>
      <c r="R4" t="s">
        <v>270</v>
      </c>
      <c r="S4" t="s">
        <v>312</v>
      </c>
      <c r="T4" t="s">
        <v>359</v>
      </c>
      <c r="U4" t="s">
        <v>554</v>
      </c>
      <c r="V4" t="s">
        <v>598</v>
      </c>
      <c r="W4" t="s">
        <v>33</v>
      </c>
      <c r="X4" t="s">
        <v>93</v>
      </c>
      <c r="Y4" t="s">
        <v>48</v>
      </c>
      <c r="Z4" t="s">
        <v>107</v>
      </c>
      <c r="AA4" t="s">
        <v>150</v>
      </c>
      <c r="AB4" t="s">
        <v>323</v>
      </c>
      <c r="AC4" t="s">
        <v>371</v>
      </c>
      <c r="AD4" t="s">
        <v>439</v>
      </c>
      <c r="AE4" t="s">
        <v>490</v>
      </c>
      <c r="AF4" t="s">
        <v>53</v>
      </c>
      <c r="AG4" t="s">
        <v>110</v>
      </c>
      <c r="AH4" t="s">
        <v>157</v>
      </c>
      <c r="AI4" t="s">
        <v>120</v>
      </c>
      <c r="AJ4" t="s">
        <v>165</v>
      </c>
      <c r="AK4" t="s">
        <v>219</v>
      </c>
      <c r="AL4" t="s">
        <v>267</v>
      </c>
      <c r="AM4" t="s">
        <v>452</v>
      </c>
      <c r="AN4" t="s">
        <v>500</v>
      </c>
      <c r="AO4" t="s">
        <v>553</v>
      </c>
      <c r="AP4" t="s">
        <v>595</v>
      </c>
      <c r="AQ4" t="s">
        <v>170</v>
      </c>
      <c r="AR4" t="s">
        <v>225</v>
      </c>
      <c r="AS4" t="s">
        <v>471</v>
      </c>
      <c r="AT4" t="s">
        <v>514</v>
      </c>
      <c r="AU4" t="s">
        <v>87</v>
      </c>
      <c r="AV4" t="s">
        <v>140</v>
      </c>
      <c r="AW4" t="s">
        <v>188</v>
      </c>
      <c r="AX4" t="s">
        <v>247</v>
      </c>
      <c r="AY4" t="s">
        <v>423</v>
      </c>
      <c r="AZ4" t="s">
        <v>476</v>
      </c>
      <c r="BA4" t="s">
        <v>519</v>
      </c>
      <c r="BB4" t="s">
        <v>88</v>
      </c>
      <c r="BC4" t="s">
        <v>527</v>
      </c>
      <c r="BD4" t="s">
        <v>572</v>
      </c>
      <c r="BE4" t="s">
        <v>14</v>
      </c>
      <c r="BF4" t="s">
        <v>200</v>
      </c>
      <c r="BG4" t="s">
        <v>256</v>
      </c>
      <c r="BH4" t="s">
        <v>296</v>
      </c>
      <c r="BI4" t="s">
        <v>343</v>
      </c>
      <c r="BJ4" t="s">
        <v>531</v>
      </c>
      <c r="BK4" t="s">
        <v>576</v>
      </c>
      <c r="BL4" t="s">
        <v>17</v>
      </c>
      <c r="BM4" t="s">
        <v>586</v>
      </c>
      <c r="BN4" t="s">
        <v>24</v>
      </c>
      <c r="BO4" t="s">
        <v>83</v>
      </c>
      <c r="BP4" t="s">
        <v>138</v>
      </c>
      <c r="BQ4" t="s">
        <v>308</v>
      </c>
      <c r="BR4" t="s">
        <v>352</v>
      </c>
    </row>
    <row r="5" spans="1:70" x14ac:dyDescent="0.35">
      <c r="A5" t="s">
        <v>429</v>
      </c>
      <c r="B5" t="s">
        <v>9</v>
      </c>
      <c r="C5" t="s">
        <v>362</v>
      </c>
      <c r="D5" t="s">
        <v>493</v>
      </c>
    </row>
    <row r="6" spans="1:70" x14ac:dyDescent="0.35">
      <c r="A6" t="s">
        <v>437</v>
      </c>
      <c r="B6" t="s">
        <v>412</v>
      </c>
      <c r="C6" t="s">
        <v>362</v>
      </c>
      <c r="D6" t="s">
        <v>493</v>
      </c>
    </row>
    <row r="7" spans="1:70" x14ac:dyDescent="0.35">
      <c r="A7" t="s">
        <v>269</v>
      </c>
      <c r="B7" t="s">
        <v>512</v>
      </c>
      <c r="C7" t="s">
        <v>362</v>
      </c>
      <c r="D7" t="s">
        <v>493</v>
      </c>
      <c r="AY7">
        <v>979344507.79999995</v>
      </c>
      <c r="AZ7">
        <v>2023034713.0999999</v>
      </c>
      <c r="BA7">
        <v>2143951791.0999999</v>
      </c>
      <c r="BB7">
        <v>2480214113.6999998</v>
      </c>
      <c r="BC7">
        <v>2435844906</v>
      </c>
      <c r="BD7">
        <v>2485331046.0999999</v>
      </c>
      <c r="BE7">
        <v>2580623924.0999999</v>
      </c>
      <c r="BF7">
        <v>2587774666.5</v>
      </c>
      <c r="BG7">
        <v>2529865267.8000002</v>
      </c>
      <c r="BH7">
        <v>2596917266.1999998</v>
      </c>
      <c r="BI7">
        <v>2596050086.4000001</v>
      </c>
      <c r="BJ7">
        <v>2751986638.9000001</v>
      </c>
      <c r="BK7">
        <v>2678760424.1999998</v>
      </c>
      <c r="BL7">
        <v>2661685956.5</v>
      </c>
      <c r="BM7">
        <v>3040072312.4000001</v>
      </c>
      <c r="BN7">
        <v>3555784339.5999999</v>
      </c>
      <c r="BO7">
        <v>3393247241.6999998</v>
      </c>
      <c r="BP7">
        <v>3428116975.5</v>
      </c>
      <c r="BQ7">
        <v>3344095867.0999999</v>
      </c>
    </row>
    <row r="8" spans="1:70" x14ac:dyDescent="0.35">
      <c r="A8" t="s">
        <v>577</v>
      </c>
      <c r="B8" t="s">
        <v>143</v>
      </c>
      <c r="C8" t="s">
        <v>362</v>
      </c>
      <c r="D8" t="s">
        <v>493</v>
      </c>
    </row>
    <row r="9" spans="1:70" x14ac:dyDescent="0.35">
      <c r="A9" t="s">
        <v>262</v>
      </c>
      <c r="B9" t="s">
        <v>13</v>
      </c>
      <c r="C9" t="s">
        <v>362</v>
      </c>
      <c r="D9" t="s">
        <v>493</v>
      </c>
      <c r="AH9">
        <v>7288778066.3000002</v>
      </c>
      <c r="AI9">
        <v>8591895991.1000004</v>
      </c>
      <c r="AJ9">
        <v>9000344458.7999992</v>
      </c>
      <c r="AK9">
        <v>10059207810.700001</v>
      </c>
      <c r="AL9">
        <v>10571384637.799999</v>
      </c>
      <c r="AM9">
        <v>11292755787.9</v>
      </c>
      <c r="AN9">
        <v>11502043062.1</v>
      </c>
      <c r="AO9">
        <v>10545818707.6</v>
      </c>
      <c r="AP9">
        <v>9948274153</v>
      </c>
      <c r="AQ9">
        <v>10784076259.700001</v>
      </c>
      <c r="AR9">
        <v>10673241870.4</v>
      </c>
      <c r="AS9">
        <v>9763465564.3999996</v>
      </c>
      <c r="AT9">
        <v>8776917205</v>
      </c>
      <c r="AU9">
        <v>9119036718.7000008</v>
      </c>
      <c r="AV9">
        <v>9114598189.3999996</v>
      </c>
      <c r="AW9">
        <v>9801188917.7000008</v>
      </c>
      <c r="AX9">
        <v>12238371900.200001</v>
      </c>
      <c r="AY9">
        <v>9905180985.7999992</v>
      </c>
      <c r="AZ9">
        <v>11941803690.9</v>
      </c>
      <c r="BA9">
        <v>15596027678.700001</v>
      </c>
      <c r="BB9">
        <v>20277281252.900002</v>
      </c>
      <c r="BC9">
        <v>26795572704.5</v>
      </c>
      <c r="BD9">
        <v>34679553283.400002</v>
      </c>
      <c r="BE9">
        <v>36165323895.300003</v>
      </c>
      <c r="BF9">
        <v>43350110779.099998</v>
      </c>
      <c r="BG9">
        <v>45924334305.5</v>
      </c>
      <c r="BH9">
        <v>48771532654.300003</v>
      </c>
      <c r="BI9">
        <v>57434097528.199997</v>
      </c>
      <c r="BJ9">
        <v>58745881698.599998</v>
      </c>
      <c r="BK9">
        <v>61791490176.699997</v>
      </c>
      <c r="BL9">
        <v>62292159789.900002</v>
      </c>
      <c r="BM9">
        <v>65405244103.699997</v>
      </c>
      <c r="BN9">
        <v>66019700768.5</v>
      </c>
      <c r="BO9">
        <v>60445747533.300003</v>
      </c>
      <c r="BP9">
        <v>57273124300.5</v>
      </c>
      <c r="BQ9">
        <v>58733063313.599998</v>
      </c>
    </row>
    <row r="10" spans="1:70" x14ac:dyDescent="0.35">
      <c r="A10" t="s">
        <v>167</v>
      </c>
      <c r="B10" t="s">
        <v>369</v>
      </c>
      <c r="C10" t="s">
        <v>362</v>
      </c>
      <c r="D10" t="s">
        <v>493</v>
      </c>
      <c r="AJ10">
        <v>511485756.30000001</v>
      </c>
      <c r="AK10">
        <v>632621789.20000005</v>
      </c>
      <c r="AL10">
        <v>786033591.20000005</v>
      </c>
      <c r="AM10">
        <v>883115193.79999995</v>
      </c>
      <c r="AN10">
        <v>458862737.5</v>
      </c>
      <c r="AO10">
        <v>491993448.60000002</v>
      </c>
      <c r="AP10">
        <v>517675961.30000001</v>
      </c>
      <c r="AQ10">
        <v>624791791.79999995</v>
      </c>
      <c r="AR10">
        <v>773092900.60000002</v>
      </c>
      <c r="AS10">
        <v>1122055223.3</v>
      </c>
      <c r="AT10">
        <v>1154309753.2</v>
      </c>
      <c r="AU10">
        <v>1180989821.7</v>
      </c>
      <c r="AV10">
        <v>1550807967.9000001</v>
      </c>
      <c r="AW10">
        <v>1604463698.8</v>
      </c>
      <c r="AX10">
        <v>2126952749.0999999</v>
      </c>
      <c r="AY10">
        <v>2517944832.5999999</v>
      </c>
      <c r="AZ10">
        <v>2968003033.6999998</v>
      </c>
      <c r="BA10">
        <v>4258015319</v>
      </c>
      <c r="BB10">
        <v>4606466990.6999998</v>
      </c>
      <c r="BC10">
        <v>5437682810.5</v>
      </c>
      <c r="BD10">
        <v>6485279264.8000002</v>
      </c>
      <c r="BE10">
        <v>7385570078.1000004</v>
      </c>
      <c r="BF10">
        <v>8648154911.2999992</v>
      </c>
      <c r="BG10">
        <v>8512992906.3999996</v>
      </c>
      <c r="BH10">
        <v>8447105962.8000002</v>
      </c>
      <c r="BI10">
        <v>8516021767.5</v>
      </c>
      <c r="BJ10">
        <v>9801555134.1000004</v>
      </c>
      <c r="BK10">
        <v>9651016801.7999992</v>
      </c>
      <c r="BL10">
        <v>9274431083.1000004</v>
      </c>
      <c r="BM10">
        <v>10477651758.799999</v>
      </c>
      <c r="BN10">
        <v>11054994588.4</v>
      </c>
      <c r="BO10">
        <v>10420148491.4</v>
      </c>
      <c r="BP10">
        <v>11315021852.5</v>
      </c>
      <c r="BQ10">
        <v>10712630800.799999</v>
      </c>
    </row>
    <row r="11" spans="1:70" x14ac:dyDescent="0.35">
      <c r="A11" t="s">
        <v>280</v>
      </c>
      <c r="B11" t="s">
        <v>602</v>
      </c>
      <c r="C11" t="s">
        <v>362</v>
      </c>
      <c r="D11" t="s">
        <v>493</v>
      </c>
    </row>
    <row r="12" spans="1:70" x14ac:dyDescent="0.35">
      <c r="A12" t="s">
        <v>92</v>
      </c>
      <c r="B12" t="s">
        <v>507</v>
      </c>
      <c r="C12" t="s">
        <v>362</v>
      </c>
      <c r="D12" t="s">
        <v>493</v>
      </c>
    </row>
    <row r="13" spans="1:70" x14ac:dyDescent="0.35">
      <c r="A13" t="s">
        <v>34</v>
      </c>
      <c r="B13" t="s">
        <v>174</v>
      </c>
      <c r="C13" t="s">
        <v>362</v>
      </c>
      <c r="D13" t="s">
        <v>493</v>
      </c>
    </row>
    <row r="14" spans="1:70" x14ac:dyDescent="0.35">
      <c r="A14" t="s">
        <v>255</v>
      </c>
      <c r="B14" t="s">
        <v>402</v>
      </c>
      <c r="C14" t="s">
        <v>362</v>
      </c>
      <c r="D14" t="s">
        <v>493</v>
      </c>
      <c r="O14">
        <v>5893191433.6000004</v>
      </c>
      <c r="P14">
        <v>6353903964.5</v>
      </c>
      <c r="Q14">
        <v>6893803268.3000002</v>
      </c>
      <c r="R14">
        <v>7374621350.5</v>
      </c>
      <c r="S14">
        <v>7798525658.1000004</v>
      </c>
      <c r="T14">
        <v>7901576052.8999996</v>
      </c>
      <c r="U14">
        <v>9501611014.5</v>
      </c>
      <c r="V14">
        <v>11675739426.299999</v>
      </c>
      <c r="W14">
        <v>13507657037.799999</v>
      </c>
      <c r="X14">
        <v>21176835027.400002</v>
      </c>
      <c r="Y14">
        <v>27322463712.900002</v>
      </c>
      <c r="Z14">
        <v>35809463187.800003</v>
      </c>
      <c r="AA14">
        <v>43787004262.199997</v>
      </c>
      <c r="AB14">
        <v>46108319454.599998</v>
      </c>
      <c r="AC14">
        <v>49060805832.599998</v>
      </c>
      <c r="AD14">
        <v>51156733946</v>
      </c>
      <c r="AE14">
        <v>52688148843.800003</v>
      </c>
      <c r="AF14">
        <v>58722673496.599998</v>
      </c>
      <c r="AG14">
        <v>59015245403.5</v>
      </c>
      <c r="AH14">
        <v>65538413075.099998</v>
      </c>
      <c r="AI14">
        <v>62477601311.900002</v>
      </c>
      <c r="AJ14">
        <v>65672366930.099998</v>
      </c>
      <c r="AK14">
        <v>68605638952.400002</v>
      </c>
      <c r="AL14">
        <v>64681387080.300003</v>
      </c>
      <c r="AM14">
        <v>75094061335.699997</v>
      </c>
      <c r="AN14">
        <v>98773122012.699997</v>
      </c>
      <c r="AO14">
        <v>111145506414</v>
      </c>
      <c r="AP14">
        <v>128251441841.7</v>
      </c>
      <c r="AQ14">
        <v>141504501057.70001</v>
      </c>
      <c r="AR14">
        <v>151913800711.29999</v>
      </c>
      <c r="AS14">
        <v>150062928187.29999</v>
      </c>
      <c r="AT14">
        <v>152649929432.5</v>
      </c>
      <c r="AU14">
        <v>148320192549.29999</v>
      </c>
      <c r="AV14">
        <v>163442688409.29999</v>
      </c>
      <c r="AW14">
        <v>167999635827.29999</v>
      </c>
      <c r="AX14">
        <v>130788488210.2</v>
      </c>
      <c r="AY14">
        <v>118921233033.8</v>
      </c>
      <c r="AZ14">
        <v>120818039247.5</v>
      </c>
      <c r="BA14">
        <v>129751137881.3</v>
      </c>
      <c r="BB14">
        <v>133694134247.7</v>
      </c>
      <c r="BC14">
        <v>126641509908.2</v>
      </c>
      <c r="BD14">
        <v>142883776038.29999</v>
      </c>
      <c r="BE14">
        <v>139876851066.60001</v>
      </c>
      <c r="BF14">
        <v>150224280402.10001</v>
      </c>
      <c r="BG14">
        <v>153793074987.60001</v>
      </c>
      <c r="BH14">
        <v>177183976465.60001</v>
      </c>
      <c r="BI14">
        <v>181637286190.70001</v>
      </c>
      <c r="BJ14">
        <v>225923967186.10001</v>
      </c>
      <c r="BK14">
        <v>277825747406.20001</v>
      </c>
      <c r="BL14">
        <v>280683596388</v>
      </c>
      <c r="BM14">
        <v>255603072878.79999</v>
      </c>
      <c r="BN14">
        <v>246114307414</v>
      </c>
      <c r="BO14">
        <v>248976650822</v>
      </c>
      <c r="BP14">
        <v>252793904703.10001</v>
      </c>
      <c r="BQ14">
        <v>242357155703.10001</v>
      </c>
    </row>
    <row r="15" spans="1:70" x14ac:dyDescent="0.35">
      <c r="A15" t="s">
        <v>71</v>
      </c>
      <c r="B15" t="s">
        <v>234</v>
      </c>
      <c r="C15" t="s">
        <v>362</v>
      </c>
      <c r="D15" t="s">
        <v>493</v>
      </c>
      <c r="AL15">
        <v>133922025.2</v>
      </c>
      <c r="AM15">
        <v>214328549.40000001</v>
      </c>
      <c r="AN15">
        <v>370656928</v>
      </c>
      <c r="AO15">
        <v>520544050.39999998</v>
      </c>
      <c r="AP15">
        <v>638485619.5</v>
      </c>
      <c r="AQ15">
        <v>804242112.89999998</v>
      </c>
      <c r="AR15">
        <v>1022596079.8</v>
      </c>
      <c r="AS15">
        <v>1018418173.9</v>
      </c>
      <c r="AT15">
        <v>1410424531.0999999</v>
      </c>
      <c r="AU15">
        <v>1719549290.3</v>
      </c>
      <c r="AV15">
        <v>1996130970.2</v>
      </c>
      <c r="AW15">
        <v>2107914571.2</v>
      </c>
      <c r="AX15">
        <v>1969824792.5</v>
      </c>
      <c r="AY15">
        <v>2138883502.7</v>
      </c>
      <c r="AZ15">
        <v>3081934925.4000001</v>
      </c>
      <c r="BA15">
        <v>3612490093</v>
      </c>
      <c r="BB15">
        <v>4934959249.6000004</v>
      </c>
      <c r="BC15">
        <v>6307170668.6000004</v>
      </c>
      <c r="BD15">
        <v>7410792665.3000002</v>
      </c>
      <c r="BE15">
        <v>7640566516.3000002</v>
      </c>
      <c r="BF15">
        <v>8681090391.2999992</v>
      </c>
      <c r="BG15">
        <v>8555656187</v>
      </c>
      <c r="BH15">
        <v>8831021220.7999992</v>
      </c>
      <c r="BI15">
        <v>9855623087.1000004</v>
      </c>
      <c r="BJ15">
        <v>10228295738.5</v>
      </c>
      <c r="BK15">
        <v>10725730268.9</v>
      </c>
      <c r="BL15">
        <v>11884488146.299999</v>
      </c>
      <c r="BM15">
        <v>13061785395.5</v>
      </c>
      <c r="BN15">
        <v>14039607363.200001</v>
      </c>
      <c r="BO15">
        <v>15931152887.6</v>
      </c>
      <c r="BP15">
        <v>15838832193.4</v>
      </c>
      <c r="BQ15">
        <v>16396165488.700001</v>
      </c>
    </row>
    <row r="16" spans="1:70" x14ac:dyDescent="0.35">
      <c r="A16" t="s">
        <v>90</v>
      </c>
      <c r="B16" t="s">
        <v>289</v>
      </c>
      <c r="C16" t="s">
        <v>362</v>
      </c>
      <c r="D16" t="s">
        <v>493</v>
      </c>
    </row>
    <row r="17" spans="1:69" x14ac:dyDescent="0.35">
      <c r="A17" t="s">
        <v>334</v>
      </c>
      <c r="B17" t="s">
        <v>401</v>
      </c>
      <c r="C17" t="s">
        <v>362</v>
      </c>
      <c r="D17" t="s">
        <v>493</v>
      </c>
    </row>
    <row r="18" spans="1:69" x14ac:dyDescent="0.35">
      <c r="A18" t="s">
        <v>351</v>
      </c>
      <c r="B18" t="s">
        <v>248</v>
      </c>
      <c r="C18" t="s">
        <v>362</v>
      </c>
      <c r="D18" t="s">
        <v>493</v>
      </c>
    </row>
    <row r="19" spans="1:69" x14ac:dyDescent="0.35">
      <c r="A19" t="s">
        <v>49</v>
      </c>
      <c r="B19" t="s">
        <v>290</v>
      </c>
      <c r="C19" t="s">
        <v>362</v>
      </c>
      <c r="D19" t="s">
        <v>493</v>
      </c>
    </row>
    <row r="20" spans="1:69" x14ac:dyDescent="0.35">
      <c r="A20" t="s">
        <v>434</v>
      </c>
      <c r="B20" t="s">
        <v>428</v>
      </c>
      <c r="C20" t="s">
        <v>362</v>
      </c>
      <c r="D20" t="s">
        <v>493</v>
      </c>
      <c r="AL20">
        <v>35540000</v>
      </c>
      <c r="AM20">
        <v>112814844.40000001</v>
      </c>
      <c r="AN20">
        <v>320987667.60000002</v>
      </c>
      <c r="AO20">
        <v>438309868.30000001</v>
      </c>
      <c r="AP20">
        <v>508060653.10000002</v>
      </c>
      <c r="AQ20">
        <v>706603152.29999995</v>
      </c>
      <c r="AR20">
        <v>1289063609</v>
      </c>
      <c r="AS20">
        <v>1585215993.3</v>
      </c>
      <c r="AT20">
        <v>1519801453.5999999</v>
      </c>
      <c r="AU20">
        <v>1701647122.3</v>
      </c>
      <c r="AV20">
        <v>1959261793.7</v>
      </c>
      <c r="AW20">
        <v>2192577447.1999998</v>
      </c>
      <c r="AX20">
        <v>2270055653.0999999</v>
      </c>
      <c r="AY20">
        <v>2820389403.5</v>
      </c>
      <c r="AZ20">
        <v>3924409213.9000001</v>
      </c>
      <c r="BA20">
        <v>4522619511.1999998</v>
      </c>
      <c r="BB20">
        <v>4579733732.3999996</v>
      </c>
      <c r="BC20">
        <v>7285505104.1999998</v>
      </c>
      <c r="BD20">
        <v>7722133655.1000004</v>
      </c>
      <c r="BE20">
        <v>10856678607.299999</v>
      </c>
      <c r="BF20">
        <v>10596759022.299999</v>
      </c>
      <c r="BG20">
        <v>12117384320.799999</v>
      </c>
      <c r="BH20">
        <v>13179085411.9</v>
      </c>
      <c r="BI20">
        <v>14469746198.700001</v>
      </c>
      <c r="BJ20">
        <v>15297961777.299999</v>
      </c>
      <c r="BK20">
        <v>16463882677.6</v>
      </c>
      <c r="BL20">
        <v>16437653830</v>
      </c>
      <c r="BM20">
        <v>16384510859.4</v>
      </c>
      <c r="BN20">
        <v>15577206234.4</v>
      </c>
      <c r="BO20">
        <v>15457490377.200001</v>
      </c>
      <c r="BP20">
        <v>14989804725.5</v>
      </c>
      <c r="BQ20">
        <v>12199421517.200001</v>
      </c>
    </row>
    <row r="21" spans="1:69" x14ac:dyDescent="0.35">
      <c r="A21" t="s">
        <v>382</v>
      </c>
      <c r="B21" t="s">
        <v>444</v>
      </c>
      <c r="C21" t="s">
        <v>362</v>
      </c>
      <c r="D21" t="s">
        <v>493</v>
      </c>
      <c r="O21">
        <v>14970400.9</v>
      </c>
      <c r="P21">
        <v>13628499</v>
      </c>
      <c r="Q21">
        <v>6895385.5999999996</v>
      </c>
      <c r="R21">
        <v>7780758.4000000004</v>
      </c>
      <c r="S21">
        <v>9437482</v>
      </c>
      <c r="T21">
        <v>19378709.699999999</v>
      </c>
      <c r="U21">
        <v>22365684.199999999</v>
      </c>
      <c r="V21">
        <v>47221848.399999999</v>
      </c>
      <c r="W21">
        <v>74679956.5</v>
      </c>
      <c r="X21">
        <v>136189377</v>
      </c>
      <c r="Y21">
        <v>165719681.30000001</v>
      </c>
      <c r="Z21">
        <v>178613654.80000001</v>
      </c>
      <c r="AA21">
        <v>227431810.40000001</v>
      </c>
      <c r="AB21">
        <v>307726678.60000002</v>
      </c>
      <c r="AC21">
        <v>348008143.10000002</v>
      </c>
      <c r="AD21">
        <v>455096618.89999998</v>
      </c>
      <c r="AE21">
        <v>570430014.5</v>
      </c>
      <c r="AF21">
        <v>769586468.39999998</v>
      </c>
      <c r="AG21">
        <v>800694146.89999998</v>
      </c>
      <c r="AH21">
        <v>888845816.10000002</v>
      </c>
      <c r="AI21">
        <v>906936375.20000005</v>
      </c>
      <c r="AJ21">
        <v>963475598.39999998</v>
      </c>
      <c r="AK21">
        <v>1026584699.6</v>
      </c>
      <c r="AL21">
        <v>1065645817.3</v>
      </c>
      <c r="AM21">
        <v>1127404969</v>
      </c>
      <c r="AN21">
        <v>1161951393.2</v>
      </c>
      <c r="AO21">
        <v>1130746660.3</v>
      </c>
      <c r="AP21">
        <v>1068957656.4</v>
      </c>
      <c r="AQ21">
        <v>1121825243.5</v>
      </c>
      <c r="AR21">
        <v>1153732063.5999999</v>
      </c>
      <c r="AS21">
        <v>1125869260.9000001</v>
      </c>
      <c r="AT21">
        <v>1093536451</v>
      </c>
      <c r="AU21">
        <v>1232214637.4000001</v>
      </c>
      <c r="AV21">
        <v>1348337839.0999999</v>
      </c>
      <c r="AW21">
        <v>1357933155.3</v>
      </c>
      <c r="AX21">
        <v>1287893069.0999999</v>
      </c>
      <c r="AY21">
        <v>1371901889.5</v>
      </c>
      <c r="AZ21">
        <v>1409730477.0999999</v>
      </c>
      <c r="BA21">
        <v>1390288828.7</v>
      </c>
      <c r="BB21">
        <v>607188101.79999995</v>
      </c>
      <c r="BC21">
        <v>620881162</v>
      </c>
      <c r="BD21">
        <v>605057004.79999995</v>
      </c>
      <c r="BE21">
        <v>663926347.20000005</v>
      </c>
      <c r="BF21">
        <v>680219691.89999998</v>
      </c>
      <c r="BG21">
        <v>691128126.39999998</v>
      </c>
      <c r="BH21">
        <v>626941607.79999995</v>
      </c>
      <c r="BI21">
        <v>603715776.70000005</v>
      </c>
      <c r="BJ21">
        <v>608422362.70000005</v>
      </c>
      <c r="BK21">
        <v>593765019</v>
      </c>
      <c r="BL21">
        <v>628698017.29999995</v>
      </c>
      <c r="BM21">
        <v>665065566.70000005</v>
      </c>
      <c r="BN21">
        <v>975977735.5</v>
      </c>
      <c r="BO21">
        <v>946930431.89999998</v>
      </c>
      <c r="BP21">
        <v>1033705051.6</v>
      </c>
      <c r="BQ21">
        <v>1023879227.4</v>
      </c>
    </row>
    <row r="22" spans="1:69" x14ac:dyDescent="0.35">
      <c r="A22" t="s">
        <v>523</v>
      </c>
      <c r="B22" t="s">
        <v>36</v>
      </c>
      <c r="C22" t="s">
        <v>362</v>
      </c>
      <c r="D22" t="s">
        <v>493</v>
      </c>
    </row>
    <row r="23" spans="1:69" x14ac:dyDescent="0.35">
      <c r="A23" t="s">
        <v>513</v>
      </c>
      <c r="B23" t="s">
        <v>274</v>
      </c>
      <c r="C23" t="s">
        <v>362</v>
      </c>
      <c r="D23" t="s">
        <v>493</v>
      </c>
      <c r="O23">
        <v>43206645.899999999</v>
      </c>
      <c r="P23">
        <v>51050106</v>
      </c>
      <c r="Q23">
        <v>47315754</v>
      </c>
      <c r="R23">
        <v>90483938.200000003</v>
      </c>
      <c r="S23">
        <v>108808916.90000001</v>
      </c>
      <c r="T23">
        <v>119207923.7</v>
      </c>
      <c r="U23">
        <v>141222202.19999999</v>
      </c>
      <c r="V23">
        <v>212376218.59999999</v>
      </c>
      <c r="W23">
        <v>283904950.10000002</v>
      </c>
      <c r="X23">
        <v>453818384.5</v>
      </c>
      <c r="Y23">
        <v>474871020.5</v>
      </c>
      <c r="Z23">
        <v>543224056.10000002</v>
      </c>
      <c r="AA23">
        <v>758283071.10000002</v>
      </c>
      <c r="AB23">
        <v>798438969.5</v>
      </c>
      <c r="AC23">
        <v>762600512.60000002</v>
      </c>
      <c r="AD23">
        <v>902878842.79999995</v>
      </c>
      <c r="AE23">
        <v>1038615913.2</v>
      </c>
      <c r="AF23">
        <v>1244496821.5999999</v>
      </c>
      <c r="AG23">
        <v>1170205810</v>
      </c>
      <c r="AH23">
        <v>1070152454.6</v>
      </c>
      <c r="AI23">
        <v>1110830135.5999999</v>
      </c>
      <c r="AJ23">
        <v>1149708001.3</v>
      </c>
      <c r="AK23">
        <v>1198996389.7</v>
      </c>
      <c r="AL23">
        <v>1270610521.5999999</v>
      </c>
      <c r="AM23">
        <v>1382104403.8</v>
      </c>
      <c r="AN23">
        <v>1396447482.5999999</v>
      </c>
      <c r="AO23">
        <v>1377472571.8</v>
      </c>
      <c r="AP23">
        <v>1374358792.3</v>
      </c>
      <c r="AQ23">
        <v>1467129720.3</v>
      </c>
      <c r="AR23">
        <v>1562316602.2</v>
      </c>
      <c r="AS23">
        <v>1504156540.8</v>
      </c>
      <c r="AT23">
        <v>1628922367.0999999</v>
      </c>
      <c r="AU23">
        <v>1851279355.0999999</v>
      </c>
      <c r="AV23">
        <v>1706632655.7</v>
      </c>
      <c r="AW23">
        <v>1994818354.5999999</v>
      </c>
      <c r="AX23">
        <v>1876387170.5</v>
      </c>
      <c r="AY23">
        <v>1254967318.4000001</v>
      </c>
      <c r="AZ23">
        <v>1498259890.4000001</v>
      </c>
      <c r="BA23">
        <v>1702121197.5</v>
      </c>
      <c r="BB23">
        <v>2015238572.4000001</v>
      </c>
      <c r="BC23">
        <v>2284118354.5</v>
      </c>
      <c r="BD23">
        <v>2190453779.0999999</v>
      </c>
      <c r="BE23">
        <v>2670381365.1999998</v>
      </c>
      <c r="BF23">
        <v>3072865045.4000001</v>
      </c>
      <c r="BG23">
        <v>3646902868.6999998</v>
      </c>
      <c r="BH23">
        <v>3604375281.1999998</v>
      </c>
      <c r="BI23">
        <v>4184965533.1999998</v>
      </c>
      <c r="BJ23">
        <v>4916905709.3999996</v>
      </c>
      <c r="BK23">
        <v>6891192963.8000002</v>
      </c>
      <c r="BL23">
        <v>6938801010.1999998</v>
      </c>
      <c r="BM23">
        <v>8516297040.3000002</v>
      </c>
      <c r="BN23">
        <v>10440535052.1</v>
      </c>
      <c r="BO23">
        <v>10927329920.1</v>
      </c>
      <c r="BP23">
        <v>12540297201.5</v>
      </c>
      <c r="BQ23">
        <v>14162933686.6</v>
      </c>
    </row>
    <row r="24" spans="1:69" x14ac:dyDescent="0.35">
      <c r="A24" t="s">
        <v>96</v>
      </c>
      <c r="B24" t="s">
        <v>370</v>
      </c>
      <c r="C24" t="s">
        <v>362</v>
      </c>
      <c r="D24" t="s">
        <v>493</v>
      </c>
      <c r="O24">
        <v>20789505.899999999</v>
      </c>
      <c r="P24">
        <v>23598002.300000001</v>
      </c>
      <c r="Q24">
        <v>20015915.300000001</v>
      </c>
      <c r="R24">
        <v>31067227.5</v>
      </c>
      <c r="S24">
        <v>47354443.399999999</v>
      </c>
      <c r="T24">
        <v>62537911.100000001</v>
      </c>
      <c r="U24">
        <v>85306252</v>
      </c>
      <c r="V24">
        <v>164285524.90000001</v>
      </c>
      <c r="W24">
        <v>262707189</v>
      </c>
      <c r="X24">
        <v>295034801.5</v>
      </c>
      <c r="Y24">
        <v>330416655.69999999</v>
      </c>
      <c r="Z24">
        <v>328158612.30000001</v>
      </c>
      <c r="AA24">
        <v>351832578.39999998</v>
      </c>
      <c r="AB24">
        <v>397717113.69999999</v>
      </c>
      <c r="AC24">
        <v>409962570.80000001</v>
      </c>
      <c r="AD24">
        <v>511100955.5</v>
      </c>
      <c r="AE24">
        <v>639696853.10000002</v>
      </c>
      <c r="AF24">
        <v>827502134.79999995</v>
      </c>
      <c r="AG24">
        <v>845249596.10000002</v>
      </c>
      <c r="AH24">
        <v>717259802.10000002</v>
      </c>
      <c r="AI24">
        <v>833673417.29999995</v>
      </c>
      <c r="AJ24">
        <v>967441445.20000005</v>
      </c>
      <c r="AK24">
        <v>1039802411.9</v>
      </c>
      <c r="AL24">
        <v>1118907234.9000001</v>
      </c>
      <c r="AM24">
        <v>1135033979.4000001</v>
      </c>
      <c r="AN24">
        <v>1274258080.3</v>
      </c>
      <c r="AO24">
        <v>1301463551.0999999</v>
      </c>
      <c r="AP24">
        <v>1307801527.0999999</v>
      </c>
      <c r="AQ24">
        <v>1470373375.7</v>
      </c>
      <c r="AR24">
        <v>1608245528.5999999</v>
      </c>
      <c r="AS24">
        <v>1446330172.4000001</v>
      </c>
      <c r="AT24">
        <v>1516006603.0999999</v>
      </c>
      <c r="AU24">
        <v>1564526409.9000001</v>
      </c>
      <c r="AV24">
        <v>1757847852.0999999</v>
      </c>
      <c r="AW24">
        <v>1944506311.9000001</v>
      </c>
      <c r="AX24">
        <v>2011339006.0999999</v>
      </c>
      <c r="AY24">
        <v>1143923817.7</v>
      </c>
      <c r="AZ24">
        <v>1969571660.4000001</v>
      </c>
      <c r="BA24">
        <v>2674882379</v>
      </c>
      <c r="BB24">
        <v>3723010559.0999999</v>
      </c>
      <c r="BC24">
        <v>4807758194.5</v>
      </c>
      <c r="BD24">
        <v>5977740713.8999996</v>
      </c>
      <c r="BE24">
        <v>7439424331.8000002</v>
      </c>
      <c r="BF24">
        <v>8946024649.5</v>
      </c>
      <c r="BG24">
        <v>10302548966.299999</v>
      </c>
      <c r="BH24">
        <v>12601802193.700001</v>
      </c>
      <c r="BI24">
        <v>10251883007.9</v>
      </c>
      <c r="BJ24">
        <v>12771161142.4</v>
      </c>
      <c r="BK24">
        <v>10625588206.9</v>
      </c>
      <c r="BL24">
        <v>9160899696.3999996</v>
      </c>
      <c r="BM24">
        <v>9769403426.8999996</v>
      </c>
      <c r="BN24">
        <v>10332659621</v>
      </c>
      <c r="BO24">
        <v>9905922029.1000004</v>
      </c>
      <c r="BP24">
        <v>10477855860.6</v>
      </c>
      <c r="BQ24">
        <v>10845161721.4</v>
      </c>
    </row>
    <row r="25" spans="1:69" x14ac:dyDescent="0.35">
      <c r="A25" t="s">
        <v>28</v>
      </c>
      <c r="B25" t="s">
        <v>123</v>
      </c>
      <c r="C25" t="s">
        <v>362</v>
      </c>
      <c r="D25" t="s">
        <v>493</v>
      </c>
      <c r="Q25">
        <v>146504255</v>
      </c>
      <c r="R25">
        <v>497826100.30000001</v>
      </c>
      <c r="S25">
        <v>1257484131.2</v>
      </c>
      <c r="T25">
        <v>1680485423.5</v>
      </c>
      <c r="U25">
        <v>1993989051.5</v>
      </c>
      <c r="V25">
        <v>2331728887.3000002</v>
      </c>
      <c r="W25">
        <v>2820088627</v>
      </c>
      <c r="X25">
        <v>2967069235.6999998</v>
      </c>
      <c r="Y25">
        <v>3802228595.1999998</v>
      </c>
      <c r="Z25">
        <v>4209310810.8000002</v>
      </c>
      <c r="AA25">
        <v>4940329805.1000004</v>
      </c>
      <c r="AB25">
        <v>5346293426.3999996</v>
      </c>
      <c r="AC25">
        <v>5541814231.1000004</v>
      </c>
      <c r="AD25">
        <v>6530064193.1999998</v>
      </c>
      <c r="AE25">
        <v>7913829647.5</v>
      </c>
      <c r="AF25">
        <v>9737967442</v>
      </c>
      <c r="AG25">
        <v>10275887393.299999</v>
      </c>
      <c r="AH25">
        <v>10701050528.9</v>
      </c>
      <c r="AI25">
        <v>12291780361.5</v>
      </c>
      <c r="AJ25">
        <v>12997665568.6</v>
      </c>
      <c r="AK25">
        <v>13427954471.799999</v>
      </c>
      <c r="AL25">
        <v>14125214056.799999</v>
      </c>
      <c r="AM25">
        <v>15490545904.5</v>
      </c>
      <c r="AN25">
        <v>15734744113.200001</v>
      </c>
      <c r="AO25">
        <v>15169074222.9</v>
      </c>
      <c r="AP25">
        <v>14257776105.5</v>
      </c>
      <c r="AQ25">
        <v>15507392996.299999</v>
      </c>
      <c r="AR25">
        <v>16449663349.299999</v>
      </c>
      <c r="AS25">
        <v>15600564697.1</v>
      </c>
      <c r="AT25">
        <v>14978802400.799999</v>
      </c>
      <c r="AU25">
        <v>16687587182.1</v>
      </c>
      <c r="AV25">
        <v>18440377575.400002</v>
      </c>
      <c r="AW25">
        <v>19714073691.799999</v>
      </c>
      <c r="AX25">
        <v>18503086016.299999</v>
      </c>
      <c r="AY25">
        <v>20160932717.099998</v>
      </c>
      <c r="AZ25">
        <v>21523544177.400002</v>
      </c>
      <c r="BA25">
        <v>23346917708.299999</v>
      </c>
      <c r="BB25">
        <v>25377795050.400002</v>
      </c>
      <c r="BC25">
        <v>26571755072</v>
      </c>
      <c r="BD25">
        <v>27046084648.200001</v>
      </c>
      <c r="BE25">
        <v>29155976742.099998</v>
      </c>
      <c r="BF25">
        <v>32454687016.799999</v>
      </c>
      <c r="BG25">
        <v>35270692354.699997</v>
      </c>
      <c r="BH25">
        <v>38770937144.199997</v>
      </c>
      <c r="BI25">
        <v>41569252897.699997</v>
      </c>
      <c r="BJ25">
        <v>51068283464.599998</v>
      </c>
      <c r="BK25">
        <v>57125459320.599998</v>
      </c>
      <c r="BL25">
        <v>62468325028.800003</v>
      </c>
      <c r="BM25">
        <v>73550857817.100006</v>
      </c>
      <c r="BN25">
        <v>91477590071.600006</v>
      </c>
      <c r="BO25">
        <v>96944431751</v>
      </c>
      <c r="BP25">
        <v>101370771740.3</v>
      </c>
      <c r="BQ25">
        <v>104486886261.10001</v>
      </c>
    </row>
    <row r="26" spans="1:69" x14ac:dyDescent="0.35">
      <c r="A26" t="s">
        <v>498</v>
      </c>
      <c r="B26" t="s">
        <v>124</v>
      </c>
      <c r="C26" t="s">
        <v>362</v>
      </c>
      <c r="D26" t="s">
        <v>493</v>
      </c>
      <c r="Z26">
        <v>772737948</v>
      </c>
      <c r="AA26">
        <v>1313089665.2</v>
      </c>
      <c r="AB26">
        <v>1738593873</v>
      </c>
      <c r="AC26">
        <v>2583927136.9000001</v>
      </c>
      <c r="AD26">
        <v>3851537192.6999998</v>
      </c>
      <c r="AE26">
        <v>5866004143.1999998</v>
      </c>
      <c r="AF26">
        <v>8265581747</v>
      </c>
      <c r="AG26">
        <v>8943895641.3999996</v>
      </c>
      <c r="AH26">
        <v>10137085437.700001</v>
      </c>
      <c r="AI26">
        <v>10889618418.299999</v>
      </c>
      <c r="AJ26">
        <v>11741672280.9</v>
      </c>
      <c r="AK26">
        <v>11838561986.700001</v>
      </c>
      <c r="AL26">
        <v>12177634744.5</v>
      </c>
      <c r="AM26">
        <v>9828532996.1000004</v>
      </c>
      <c r="AN26">
        <v>10378823642.299999</v>
      </c>
      <c r="AO26">
        <v>10368413941.5</v>
      </c>
      <c r="AP26">
        <v>11099448177.6</v>
      </c>
      <c r="AQ26">
        <v>11404629614.5</v>
      </c>
      <c r="AR26">
        <v>11794851857.200001</v>
      </c>
      <c r="AS26">
        <v>12008623065.1</v>
      </c>
      <c r="AT26">
        <v>11274814331.700001</v>
      </c>
      <c r="AU26">
        <v>12313486729.700001</v>
      </c>
      <c r="AV26">
        <v>14259733783.4</v>
      </c>
      <c r="AW26">
        <v>16620274377.5</v>
      </c>
      <c r="AX26">
        <v>18507353591.599998</v>
      </c>
      <c r="AY26">
        <v>28007279111.5</v>
      </c>
      <c r="AZ26">
        <v>43822454674.900002</v>
      </c>
      <c r="BA26">
        <v>53067247242</v>
      </c>
      <c r="BB26">
        <v>55682965449.099998</v>
      </c>
      <c r="BC26">
        <v>50697349714.5</v>
      </c>
      <c r="BD26">
        <v>47739502725.5</v>
      </c>
      <c r="BE26">
        <v>51428607356.099998</v>
      </c>
      <c r="BF26">
        <v>51652240788.199997</v>
      </c>
      <c r="BG26">
        <v>47074927807.099998</v>
      </c>
      <c r="BH26">
        <v>40378595624.5</v>
      </c>
      <c r="BI26">
        <v>39994027753.099998</v>
      </c>
      <c r="BJ26">
        <v>40989144703.599998</v>
      </c>
      <c r="BK26">
        <v>40103456193.400002</v>
      </c>
      <c r="BL26">
        <v>40501402414.800003</v>
      </c>
      <c r="BM26">
        <v>46867045226.699997</v>
      </c>
      <c r="BN26">
        <v>44946801413.5</v>
      </c>
      <c r="BO26">
        <v>47206483345.400002</v>
      </c>
    </row>
    <row r="27" spans="1:69" x14ac:dyDescent="0.35">
      <c r="A27" t="s">
        <v>297</v>
      </c>
      <c r="B27" t="s">
        <v>57</v>
      </c>
      <c r="C27" t="s">
        <v>362</v>
      </c>
      <c r="D27" t="s">
        <v>493</v>
      </c>
    </row>
    <row r="28" spans="1:69" x14ac:dyDescent="0.35">
      <c r="A28" t="s">
        <v>136</v>
      </c>
      <c r="B28" t="s">
        <v>241</v>
      </c>
      <c r="C28" t="s">
        <v>362</v>
      </c>
      <c r="D28" t="s">
        <v>493</v>
      </c>
    </row>
    <row r="29" spans="1:69" x14ac:dyDescent="0.35">
      <c r="A29" t="s">
        <v>319</v>
      </c>
      <c r="B29" t="s">
        <v>450</v>
      </c>
      <c r="C29" t="s">
        <v>362</v>
      </c>
      <c r="D29" t="s">
        <v>493</v>
      </c>
      <c r="AR29">
        <v>2408825764.1999998</v>
      </c>
      <c r="AS29">
        <v>2791207814.5999999</v>
      </c>
      <c r="AT29">
        <v>2669145304.3000002</v>
      </c>
      <c r="AU29">
        <v>3191487155.6999998</v>
      </c>
      <c r="AV29">
        <v>4533614360.8999996</v>
      </c>
      <c r="AW29">
        <v>5584724123.6000004</v>
      </c>
      <c r="AX29">
        <v>7073464506.8000002</v>
      </c>
      <c r="AY29">
        <v>8690258362.2000008</v>
      </c>
      <c r="AZ29">
        <v>11648664235.4</v>
      </c>
      <c r="BA29">
        <v>13182478252.4</v>
      </c>
      <c r="BB29">
        <v>14080358517</v>
      </c>
      <c r="BC29">
        <v>14356729617</v>
      </c>
      <c r="BD29">
        <v>12407888515.4</v>
      </c>
      <c r="BE29">
        <v>13058791609.5</v>
      </c>
      <c r="BF29">
        <v>13839008792.5</v>
      </c>
      <c r="BG29">
        <v>13130629004.799999</v>
      </c>
      <c r="BH29">
        <v>11655585848.200001</v>
      </c>
      <c r="BI29">
        <v>11664670468.5</v>
      </c>
      <c r="BJ29">
        <v>13062518681.4</v>
      </c>
      <c r="BK29">
        <v>12981480931.4</v>
      </c>
      <c r="BL29">
        <v>12697136611.299999</v>
      </c>
      <c r="BM29">
        <v>13980162216.6</v>
      </c>
      <c r="BN29">
        <v>13746604227.799999</v>
      </c>
      <c r="BO29">
        <v>13439997978.9</v>
      </c>
      <c r="BP29">
        <v>13868345420.200001</v>
      </c>
      <c r="BQ29">
        <v>13888491676.4</v>
      </c>
    </row>
    <row r="30" spans="1:69" x14ac:dyDescent="0.35">
      <c r="A30" t="s">
        <v>482</v>
      </c>
      <c r="B30" t="s">
        <v>180</v>
      </c>
      <c r="C30" t="s">
        <v>362</v>
      </c>
      <c r="D30" t="s">
        <v>493</v>
      </c>
      <c r="AL30">
        <v>968283686.20000005</v>
      </c>
      <c r="AM30">
        <v>1296124124.3</v>
      </c>
      <c r="AN30">
        <v>1693743257.4000001</v>
      </c>
      <c r="AO30">
        <v>1958924253.0999999</v>
      </c>
      <c r="AP30">
        <v>2082345263</v>
      </c>
      <c r="AQ30">
        <v>2386480834.0999999</v>
      </c>
      <c r="AR30">
        <v>2703253741.5</v>
      </c>
      <c r="AS30">
        <v>2620196263.4000001</v>
      </c>
      <c r="AT30">
        <v>2798732256.6999998</v>
      </c>
      <c r="AU30">
        <v>3399007710</v>
      </c>
      <c r="AV30">
        <v>3779551001.1999998</v>
      </c>
      <c r="AW30">
        <v>4601438650.3000002</v>
      </c>
      <c r="AX30">
        <v>5300175946.6999998</v>
      </c>
      <c r="AY30">
        <v>6562099699.5</v>
      </c>
      <c r="AZ30">
        <v>12526106963.9</v>
      </c>
      <c r="BA30">
        <v>15152844791</v>
      </c>
      <c r="BB30">
        <v>22078685409.700001</v>
      </c>
      <c r="BC30">
        <v>28412146648.799999</v>
      </c>
      <c r="BD30">
        <v>33932546340.5</v>
      </c>
      <c r="BE30">
        <v>33755733316</v>
      </c>
      <c r="BF30">
        <v>39573469218.400002</v>
      </c>
      <c r="BG30">
        <v>40013829087.699997</v>
      </c>
      <c r="BH30">
        <v>38257921211.099998</v>
      </c>
      <c r="BI30">
        <v>37515947697.5</v>
      </c>
      <c r="BJ30">
        <v>39584221158.099998</v>
      </c>
      <c r="BK30">
        <v>38767563257</v>
      </c>
      <c r="BL30">
        <v>40734118642.400002</v>
      </c>
      <c r="BM30">
        <v>41792363746.099998</v>
      </c>
      <c r="BN30">
        <v>41653683788.199997</v>
      </c>
      <c r="BO30">
        <v>39858867169.400002</v>
      </c>
      <c r="BP30">
        <v>36774534069.5</v>
      </c>
      <c r="BQ30">
        <v>34217084774.599998</v>
      </c>
    </row>
    <row r="31" spans="1:69" x14ac:dyDescent="0.35">
      <c r="A31" t="s">
        <v>259</v>
      </c>
      <c r="B31" t="s">
        <v>238</v>
      </c>
      <c r="C31" t="s">
        <v>362</v>
      </c>
      <c r="D31" t="s">
        <v>493</v>
      </c>
      <c r="O31">
        <v>4084800</v>
      </c>
      <c r="P31">
        <v>4338910</v>
      </c>
      <c r="Q31">
        <v>5068965.7</v>
      </c>
      <c r="R31">
        <v>4825894.4000000004</v>
      </c>
      <c r="S31">
        <v>5274044.5</v>
      </c>
      <c r="T31">
        <v>4827053</v>
      </c>
      <c r="U31">
        <v>9165985.0999999996</v>
      </c>
      <c r="V31">
        <v>20669097.399999999</v>
      </c>
      <c r="W31">
        <v>33312767.100000001</v>
      </c>
      <c r="X31">
        <v>71830514.099999994</v>
      </c>
      <c r="Y31">
        <v>63043521.200000003</v>
      </c>
      <c r="Z31">
        <v>60228528.700000003</v>
      </c>
      <c r="AA31">
        <v>69805336.400000006</v>
      </c>
      <c r="AB31">
        <v>100638089.8</v>
      </c>
      <c r="AC31">
        <v>98761894.299999997</v>
      </c>
      <c r="AD31">
        <v>118125320.2</v>
      </c>
      <c r="AE31">
        <v>121873478.7</v>
      </c>
      <c r="AF31">
        <v>137196602.40000001</v>
      </c>
      <c r="AG31">
        <v>132277165.40000001</v>
      </c>
      <c r="AH31">
        <v>137214241</v>
      </c>
      <c r="AI31">
        <v>142750749.69999999</v>
      </c>
      <c r="AJ31">
        <v>161781662.69999999</v>
      </c>
      <c r="AK31">
        <v>180961169</v>
      </c>
      <c r="AL31">
        <v>194553505.80000001</v>
      </c>
      <c r="AM31">
        <v>198665305</v>
      </c>
      <c r="AN31">
        <v>255157967.5</v>
      </c>
      <c r="AO31">
        <v>281542136.10000002</v>
      </c>
      <c r="AP31">
        <v>450090458.60000002</v>
      </c>
      <c r="AQ31">
        <v>333460184.19999999</v>
      </c>
      <c r="AR31">
        <v>416579339.10000002</v>
      </c>
      <c r="AS31">
        <v>629903800.79999995</v>
      </c>
      <c r="AT31">
        <v>721979991.70000005</v>
      </c>
      <c r="AU31">
        <v>849529037.89999998</v>
      </c>
      <c r="AV31">
        <v>1061730342.3</v>
      </c>
      <c r="AW31">
        <v>965854392.5</v>
      </c>
      <c r="AX31">
        <v>1023162269.1</v>
      </c>
      <c r="AY31">
        <v>1054232125.7</v>
      </c>
      <c r="AZ31">
        <v>1075497698.7</v>
      </c>
      <c r="BA31">
        <v>1275782808</v>
      </c>
      <c r="BB31">
        <v>1291168230.7</v>
      </c>
      <c r="BC31">
        <v>1303876871.3</v>
      </c>
      <c r="BD31">
        <v>1274688747.0999999</v>
      </c>
      <c r="BE31">
        <v>1196357127.5</v>
      </c>
      <c r="BF31">
        <v>1249160027.9000001</v>
      </c>
      <c r="BG31">
        <v>1286836300.3</v>
      </c>
      <c r="BH31">
        <v>1280311151.2</v>
      </c>
      <c r="BI31">
        <v>1290777702.5</v>
      </c>
      <c r="BJ31">
        <v>1339403309.2</v>
      </c>
      <c r="BK31">
        <v>1349377447.4000001</v>
      </c>
      <c r="BL31">
        <v>1377889086.7</v>
      </c>
      <c r="BM31">
        <v>1527863210.8</v>
      </c>
      <c r="BN31">
        <v>1452131243.3</v>
      </c>
      <c r="BO31">
        <v>1471192939.9000001</v>
      </c>
      <c r="BP31">
        <v>1518303204.9000001</v>
      </c>
      <c r="BQ31">
        <v>1558943630.7</v>
      </c>
    </row>
    <row r="32" spans="1:69" x14ac:dyDescent="0.35">
      <c r="A32" t="s">
        <v>304</v>
      </c>
      <c r="B32" t="s">
        <v>520</v>
      </c>
      <c r="C32" t="s">
        <v>362</v>
      </c>
      <c r="D32" t="s">
        <v>493</v>
      </c>
    </row>
    <row r="33" spans="1:69" x14ac:dyDescent="0.35">
      <c r="A33" t="s">
        <v>43</v>
      </c>
      <c r="B33" t="s">
        <v>418</v>
      </c>
      <c r="C33" t="s">
        <v>362</v>
      </c>
      <c r="D33" t="s">
        <v>493</v>
      </c>
      <c r="O33">
        <v>716253874.10000002</v>
      </c>
      <c r="P33">
        <v>693954454.29999995</v>
      </c>
      <c r="Q33">
        <v>809516354.39999998</v>
      </c>
      <c r="R33">
        <v>851175724.60000002</v>
      </c>
      <c r="S33">
        <v>946414912</v>
      </c>
      <c r="T33">
        <v>1080565198.2</v>
      </c>
      <c r="U33">
        <v>1360672695.7</v>
      </c>
      <c r="V33">
        <v>1803420861.4000001</v>
      </c>
      <c r="W33">
        <v>2238360353.5999999</v>
      </c>
      <c r="X33">
        <v>2633582875.1999998</v>
      </c>
      <c r="Y33">
        <v>2784672649.8000002</v>
      </c>
      <c r="Z33">
        <v>3310315978.8000002</v>
      </c>
      <c r="AA33">
        <v>3422096975.6999998</v>
      </c>
      <c r="AB33">
        <v>4164917350.3000002</v>
      </c>
      <c r="AC33">
        <v>4412205630.3000002</v>
      </c>
      <c r="AD33">
        <v>4898177366.6999998</v>
      </c>
      <c r="AE33">
        <v>5670015389.5</v>
      </c>
      <c r="AF33">
        <v>5934538201.1999998</v>
      </c>
      <c r="AG33">
        <v>4997498695.1000004</v>
      </c>
      <c r="AH33">
        <v>4229853023.5</v>
      </c>
      <c r="AI33">
        <v>4369976028</v>
      </c>
      <c r="AJ33">
        <v>4158857030.9000001</v>
      </c>
      <c r="AK33">
        <v>4332374230.3000002</v>
      </c>
      <c r="AL33">
        <v>4400366539</v>
      </c>
      <c r="AM33">
        <v>4965186858.3000002</v>
      </c>
      <c r="AN33">
        <v>5359275052.5</v>
      </c>
      <c r="AO33">
        <v>5275484513.8999996</v>
      </c>
      <c r="AP33">
        <v>5313085255.3000002</v>
      </c>
      <c r="AQ33">
        <v>5688227905.1999998</v>
      </c>
      <c r="AR33">
        <v>5655151008.3999996</v>
      </c>
      <c r="AS33">
        <v>5892765188.3999996</v>
      </c>
      <c r="AT33">
        <v>4794042371.8999996</v>
      </c>
      <c r="AU33">
        <v>5107005795.5</v>
      </c>
      <c r="AV33">
        <v>5864138345.8000002</v>
      </c>
      <c r="AW33">
        <v>6284467791.5</v>
      </c>
      <c r="AX33">
        <v>6967641266.1000004</v>
      </c>
      <c r="AY33">
        <v>6255767963.5</v>
      </c>
      <c r="AZ33">
        <v>5064781761.6999998</v>
      </c>
      <c r="BA33">
        <v>5701040187.5</v>
      </c>
      <c r="BB33">
        <v>5780325836.3000002</v>
      </c>
      <c r="BC33">
        <v>5776504655.6999998</v>
      </c>
      <c r="BD33">
        <v>6181999152.8000002</v>
      </c>
      <c r="BE33">
        <v>6617099947.6999998</v>
      </c>
      <c r="BF33">
        <v>8141786767.5</v>
      </c>
      <c r="BG33">
        <v>8884014490.3999996</v>
      </c>
      <c r="BH33">
        <v>9895204080.2999992</v>
      </c>
      <c r="BI33">
        <v>10994252972.4</v>
      </c>
      <c r="BJ33">
        <v>12990057752.200001</v>
      </c>
      <c r="BK33">
        <v>13248377783.1</v>
      </c>
      <c r="BL33">
        <v>14301151537.299999</v>
      </c>
      <c r="BM33">
        <v>15420130053.6</v>
      </c>
      <c r="BN33">
        <v>16025613524</v>
      </c>
      <c r="BO33">
        <v>15930334885.1</v>
      </c>
      <c r="BP33">
        <v>16311190351.200001</v>
      </c>
      <c r="BQ33">
        <v>15717587538.6</v>
      </c>
    </row>
    <row r="34" spans="1:69" x14ac:dyDescent="0.35">
      <c r="A34" t="s">
        <v>485</v>
      </c>
      <c r="B34" t="s">
        <v>272</v>
      </c>
      <c r="C34" t="s">
        <v>362</v>
      </c>
      <c r="D34" t="s">
        <v>493</v>
      </c>
      <c r="O34">
        <v>5984162468.6000004</v>
      </c>
      <c r="P34">
        <v>7726273573.1000004</v>
      </c>
      <c r="Q34">
        <v>11863655548.9</v>
      </c>
      <c r="R34">
        <v>15066000213.799999</v>
      </c>
      <c r="S34">
        <v>22464958636</v>
      </c>
      <c r="T34">
        <v>27781563139.400002</v>
      </c>
      <c r="U34">
        <v>33801318618.900002</v>
      </c>
      <c r="V34">
        <v>42500176105.400002</v>
      </c>
      <c r="W34">
        <v>55032094032.5</v>
      </c>
      <c r="X34">
        <v>61795286977.699997</v>
      </c>
      <c r="Y34">
        <v>71983934096.800003</v>
      </c>
      <c r="Z34">
        <v>81914155928.899994</v>
      </c>
      <c r="AA34">
        <v>94428719113.5</v>
      </c>
      <c r="AB34">
        <v>99022210538.199997</v>
      </c>
      <c r="AC34">
        <v>104364922436.39999</v>
      </c>
      <c r="AD34">
        <v>104173244270.10001</v>
      </c>
      <c r="AE34">
        <v>109645181057.10001</v>
      </c>
      <c r="AF34">
        <v>120476573202.5</v>
      </c>
      <c r="AG34">
        <v>118039405885</v>
      </c>
      <c r="AH34">
        <v>114930095027.7</v>
      </c>
      <c r="AI34">
        <v>120311895094.7</v>
      </c>
      <c r="AJ34">
        <v>121336709129.8</v>
      </c>
      <c r="AK34">
        <v>129535948557.2</v>
      </c>
      <c r="AL34">
        <v>144599577124.29999</v>
      </c>
      <c r="AM34">
        <v>152903103557.70001</v>
      </c>
      <c r="AN34">
        <v>160964228343.5</v>
      </c>
      <c r="AO34">
        <v>181793526989.20001</v>
      </c>
      <c r="AP34">
        <v>198980293495.10001</v>
      </c>
      <c r="AQ34">
        <v>241998415763.79999</v>
      </c>
      <c r="AR34">
        <v>245114967226</v>
      </c>
      <c r="AS34">
        <v>242511685521.79999</v>
      </c>
      <c r="AT34">
        <v>229959717402.10001</v>
      </c>
      <c r="AU34">
        <v>231944181034.5</v>
      </c>
      <c r="AV34">
        <v>235907984168.39999</v>
      </c>
      <c r="AW34">
        <v>220693592600.60001</v>
      </c>
      <c r="AX34">
        <v>188364545589.89999</v>
      </c>
      <c r="AY34">
        <v>194303018016.89999</v>
      </c>
      <c r="AZ34">
        <v>238444452622.60001</v>
      </c>
      <c r="BA34">
        <v>262957236462.60001</v>
      </c>
      <c r="BB34">
        <v>281651138432.40002</v>
      </c>
      <c r="BC34">
        <v>352364412862.59998</v>
      </c>
      <c r="BD34">
        <v>404046105342.09998</v>
      </c>
      <c r="BE34">
        <v>440496598192.79999</v>
      </c>
      <c r="BF34">
        <v>483734834011.90002</v>
      </c>
      <c r="BG34">
        <v>556919631071.69995</v>
      </c>
      <c r="BH34">
        <v>543397356309.79999</v>
      </c>
      <c r="BI34">
        <v>543257228545.29999</v>
      </c>
      <c r="BJ34">
        <v>543000470110.90002</v>
      </c>
      <c r="BK34">
        <v>557765380774.59998</v>
      </c>
      <c r="BL34">
        <v>568708887352.19995</v>
      </c>
      <c r="BM34">
        <v>549329010779</v>
      </c>
      <c r="BN34">
        <v>571193915507.80005</v>
      </c>
      <c r="BO34">
        <v>579257850288.19995</v>
      </c>
      <c r="BP34">
        <v>607387151485.09998</v>
      </c>
      <c r="BQ34">
        <v>605463780812.80005</v>
      </c>
    </row>
    <row r="35" spans="1:69" x14ac:dyDescent="0.35">
      <c r="A35" t="s">
        <v>456</v>
      </c>
      <c r="B35" t="s">
        <v>316</v>
      </c>
      <c r="C35" t="s">
        <v>362</v>
      </c>
      <c r="D35" t="s">
        <v>493</v>
      </c>
    </row>
    <row r="36" spans="1:69" x14ac:dyDescent="0.35">
      <c r="A36" t="s">
        <v>348</v>
      </c>
      <c r="B36" t="s">
        <v>104</v>
      </c>
      <c r="C36" t="s">
        <v>362</v>
      </c>
      <c r="D36" t="s">
        <v>493</v>
      </c>
    </row>
    <row r="37" spans="1:69" x14ac:dyDescent="0.35">
      <c r="A37" t="s">
        <v>464</v>
      </c>
      <c r="B37" t="s">
        <v>98</v>
      </c>
      <c r="C37" t="s">
        <v>362</v>
      </c>
      <c r="D37" t="s">
        <v>493</v>
      </c>
      <c r="Z37">
        <v>325908.8</v>
      </c>
      <c r="AA37">
        <v>1143925.1000000001</v>
      </c>
      <c r="AB37">
        <v>1764110.8</v>
      </c>
      <c r="AC37">
        <v>2731924.9</v>
      </c>
      <c r="AD37">
        <v>8833074.5</v>
      </c>
      <c r="AE37">
        <v>20953606.600000001</v>
      </c>
      <c r="AF37">
        <v>40242793.899999999</v>
      </c>
      <c r="AG37">
        <v>67083431.5</v>
      </c>
      <c r="AH37">
        <v>73855715.5</v>
      </c>
      <c r="AI37">
        <v>83545689.900000006</v>
      </c>
      <c r="AJ37">
        <v>86339685.400000006</v>
      </c>
      <c r="AK37">
        <v>89198882.700000003</v>
      </c>
      <c r="AL37">
        <v>96619573</v>
      </c>
      <c r="AM37">
        <v>104507960.59999999</v>
      </c>
      <c r="AN37">
        <v>105769087.59999999</v>
      </c>
      <c r="AO37">
        <v>113040448.59999999</v>
      </c>
      <c r="AP37">
        <v>119619860</v>
      </c>
      <c r="AQ37">
        <v>171042023.69999999</v>
      </c>
      <c r="AR37">
        <v>192034098.69999999</v>
      </c>
      <c r="AS37">
        <v>211571982.80000001</v>
      </c>
      <c r="AT37">
        <v>272712510.19999999</v>
      </c>
      <c r="AU37">
        <v>386049931.10000002</v>
      </c>
      <c r="AV37">
        <v>493626169.19999999</v>
      </c>
      <c r="AW37">
        <v>601316819.89999998</v>
      </c>
      <c r="AX37">
        <v>656602174.20000005</v>
      </c>
      <c r="AY37">
        <v>721112613.60000002</v>
      </c>
      <c r="AZ37">
        <v>801238273.20000005</v>
      </c>
      <c r="BA37">
        <v>693075804.20000005</v>
      </c>
      <c r="BB37">
        <v>786548880.29999995</v>
      </c>
      <c r="BC37">
        <v>934629272.10000002</v>
      </c>
      <c r="BD37">
        <v>1070492249.6</v>
      </c>
      <c r="BE37">
        <v>1449649027.4000001</v>
      </c>
      <c r="BF37">
        <v>1628150561</v>
      </c>
      <c r="BG37">
        <v>1941155641.3</v>
      </c>
      <c r="BH37">
        <v>2111104022.8</v>
      </c>
      <c r="BI37">
        <v>2389670352.4000001</v>
      </c>
      <c r="BJ37">
        <v>2707950876.9000001</v>
      </c>
      <c r="BK37">
        <v>2651977085</v>
      </c>
      <c r="BL37">
        <v>2803804731.5999999</v>
      </c>
      <c r="BM37">
        <v>3236756638.4000001</v>
      </c>
      <c r="BN37">
        <v>3268867963.8000002</v>
      </c>
      <c r="BO37">
        <v>3160243054.4000001</v>
      </c>
      <c r="BP37">
        <v>3266699740.0999999</v>
      </c>
      <c r="BQ37">
        <v>3400087106.3000002</v>
      </c>
    </row>
    <row r="38" spans="1:69" x14ac:dyDescent="0.35">
      <c r="A38" t="s">
        <v>38</v>
      </c>
      <c r="B38" t="s">
        <v>322</v>
      </c>
      <c r="C38" t="s">
        <v>362</v>
      </c>
      <c r="D38" t="s">
        <v>493</v>
      </c>
      <c r="O38">
        <v>17358400</v>
      </c>
      <c r="P38">
        <v>33201565.699999999</v>
      </c>
      <c r="Q38">
        <v>74756512</v>
      </c>
      <c r="R38">
        <v>114920842.5</v>
      </c>
      <c r="S38">
        <v>134055048</v>
      </c>
      <c r="T38">
        <v>147979450.09999999</v>
      </c>
      <c r="U38">
        <v>166353134.30000001</v>
      </c>
      <c r="V38">
        <v>185561932.5</v>
      </c>
      <c r="W38">
        <v>125537379.09999999</v>
      </c>
      <c r="X38">
        <v>130018668</v>
      </c>
      <c r="Y38">
        <v>135629101.5</v>
      </c>
      <c r="Z38">
        <v>159540360.09999999</v>
      </c>
      <c r="AA38">
        <v>204807763.80000001</v>
      </c>
      <c r="AB38">
        <v>228122753.19999999</v>
      </c>
      <c r="AC38">
        <v>266914783.69999999</v>
      </c>
      <c r="AD38">
        <v>345662733.39999998</v>
      </c>
      <c r="AE38">
        <v>407035314.5</v>
      </c>
      <c r="AF38">
        <v>543402800.39999998</v>
      </c>
      <c r="AG38">
        <v>532601060.39999998</v>
      </c>
      <c r="AH38">
        <v>549840386.79999995</v>
      </c>
      <c r="AI38">
        <v>552920438.5</v>
      </c>
      <c r="AJ38">
        <v>612559218.70000005</v>
      </c>
      <c r="AK38">
        <v>606348584.39999998</v>
      </c>
      <c r="AL38">
        <v>663983873</v>
      </c>
      <c r="AM38">
        <v>700397765.10000002</v>
      </c>
      <c r="AN38">
        <v>717153185</v>
      </c>
      <c r="AO38">
        <v>626530347.70000005</v>
      </c>
      <c r="AP38">
        <v>574727348</v>
      </c>
      <c r="AQ38">
        <v>532169048.69999999</v>
      </c>
      <c r="AR38">
        <v>510191242.39999998</v>
      </c>
      <c r="AS38">
        <v>452434627.39999998</v>
      </c>
      <c r="AT38">
        <v>400352880.39999998</v>
      </c>
      <c r="AU38">
        <v>491350071</v>
      </c>
      <c r="AV38">
        <v>514126449.30000001</v>
      </c>
      <c r="AW38">
        <v>515796292.80000001</v>
      </c>
      <c r="AX38">
        <v>460538960.39999998</v>
      </c>
      <c r="AY38">
        <v>364731487.19999999</v>
      </c>
      <c r="AZ38">
        <v>425189546.80000001</v>
      </c>
      <c r="BA38">
        <v>448508779.89999998</v>
      </c>
      <c r="BB38">
        <v>1643300883.2</v>
      </c>
      <c r="BC38">
        <v>1806938426.7</v>
      </c>
      <c r="BD38">
        <v>2395188968.6999998</v>
      </c>
      <c r="BE38">
        <v>2517445031.3000002</v>
      </c>
      <c r="BF38">
        <v>2378002492.1999998</v>
      </c>
      <c r="BG38">
        <v>2490383552.0999999</v>
      </c>
      <c r="BH38">
        <v>2223000319.6999998</v>
      </c>
      <c r="BI38">
        <v>2121220930.7</v>
      </c>
      <c r="BJ38">
        <v>1732142195.8</v>
      </c>
      <c r="BK38">
        <v>1773968857.7</v>
      </c>
      <c r="BL38">
        <v>1564146563.7</v>
      </c>
      <c r="BM38">
        <v>1602987277.9000001</v>
      </c>
      <c r="BN38">
        <v>1997456430.5</v>
      </c>
      <c r="BO38">
        <v>2002717072.9000001</v>
      </c>
      <c r="BP38">
        <v>2184503342.8000002</v>
      </c>
      <c r="BQ38">
        <v>2317990593</v>
      </c>
    </row>
    <row r="39" spans="1:69" x14ac:dyDescent="0.35">
      <c r="A39" t="s">
        <v>152</v>
      </c>
      <c r="B39" t="s">
        <v>395</v>
      </c>
      <c r="C39" t="s">
        <v>362</v>
      </c>
      <c r="D39" t="s">
        <v>493</v>
      </c>
      <c r="O39">
        <v>24142239.5</v>
      </c>
      <c r="P39">
        <v>28420020.5</v>
      </c>
      <c r="Q39">
        <v>36809736.200000003</v>
      </c>
      <c r="R39">
        <v>56151760.700000003</v>
      </c>
      <c r="S39">
        <v>68570794</v>
      </c>
      <c r="T39">
        <v>79160192.099999994</v>
      </c>
      <c r="U39">
        <v>94577875.700000003</v>
      </c>
      <c r="V39">
        <v>131960067.2</v>
      </c>
      <c r="W39">
        <v>142360554.59999999</v>
      </c>
      <c r="X39">
        <v>157822458.09999999</v>
      </c>
      <c r="Y39">
        <v>194665446.90000001</v>
      </c>
      <c r="Z39">
        <v>233383987.59999999</v>
      </c>
      <c r="AA39">
        <v>253472380.5</v>
      </c>
      <c r="AB39">
        <v>257907897.59999999</v>
      </c>
      <c r="AC39">
        <v>263621787.40000001</v>
      </c>
      <c r="AD39">
        <v>343526726.10000002</v>
      </c>
      <c r="AE39">
        <v>461863128.5</v>
      </c>
      <c r="AF39">
        <v>617836345.5</v>
      </c>
      <c r="AG39">
        <v>668836055.29999995</v>
      </c>
      <c r="AH39">
        <v>693537146.39999998</v>
      </c>
      <c r="AI39">
        <v>698505035.39999998</v>
      </c>
      <c r="AJ39">
        <v>794180184</v>
      </c>
      <c r="AK39">
        <v>813886188.5</v>
      </c>
      <c r="AL39">
        <v>875128942.60000002</v>
      </c>
      <c r="AM39">
        <v>888050750.79999995</v>
      </c>
      <c r="AN39">
        <v>945983160.29999995</v>
      </c>
      <c r="AO39">
        <v>932746933.29999995</v>
      </c>
      <c r="AP39">
        <v>882958613.10000002</v>
      </c>
      <c r="AQ39">
        <v>918825268.79999995</v>
      </c>
      <c r="AR39">
        <v>924194362.5</v>
      </c>
      <c r="AS39">
        <v>869008795.29999995</v>
      </c>
      <c r="AT39">
        <v>834810718.10000002</v>
      </c>
      <c r="AU39">
        <v>1068420600.7</v>
      </c>
      <c r="AV39">
        <v>1049087826</v>
      </c>
      <c r="AW39">
        <v>1101576591.5999999</v>
      </c>
      <c r="AX39">
        <v>1043682987.1</v>
      </c>
      <c r="AY39">
        <v>1047458554.1</v>
      </c>
      <c r="AZ39">
        <v>1027670389.6</v>
      </c>
      <c r="BA39">
        <v>996791752.10000002</v>
      </c>
      <c r="BB39">
        <v>549290216</v>
      </c>
      <c r="BC39">
        <v>655032073.20000005</v>
      </c>
      <c r="BD39">
        <v>620505554.39999998</v>
      </c>
      <c r="BE39">
        <v>626782829</v>
      </c>
      <c r="BF39">
        <v>650766057</v>
      </c>
      <c r="BG39">
        <v>712774619.5</v>
      </c>
      <c r="BH39">
        <v>740289908.20000005</v>
      </c>
      <c r="BI39">
        <v>743898467.79999995</v>
      </c>
      <c r="BJ39">
        <v>772718360</v>
      </c>
      <c r="BK39">
        <v>835250129.20000005</v>
      </c>
      <c r="BL39">
        <v>867729783.39999998</v>
      </c>
      <c r="BM39">
        <v>907746512.29999995</v>
      </c>
      <c r="BN39">
        <v>1111435661.5</v>
      </c>
      <c r="BO39">
        <v>1045511289.2</v>
      </c>
      <c r="BP39">
        <v>1083496566.5</v>
      </c>
      <c r="BQ39">
        <v>1045905200.4</v>
      </c>
    </row>
    <row r="40" spans="1:69" x14ac:dyDescent="0.35">
      <c r="A40" t="s">
        <v>164</v>
      </c>
      <c r="B40" t="s">
        <v>457</v>
      </c>
      <c r="C40" t="s">
        <v>362</v>
      </c>
      <c r="D40" t="s">
        <v>493</v>
      </c>
    </row>
    <row r="41" spans="1:69" x14ac:dyDescent="0.35">
      <c r="A41" t="s">
        <v>356</v>
      </c>
      <c r="B41" t="s">
        <v>190</v>
      </c>
      <c r="C41" t="s">
        <v>362</v>
      </c>
      <c r="D41" t="s">
        <v>493</v>
      </c>
    </row>
    <row r="42" spans="1:69" x14ac:dyDescent="0.35">
      <c r="A42" t="s">
        <v>154</v>
      </c>
      <c r="B42" t="s">
        <v>528</v>
      </c>
      <c r="C42" t="s">
        <v>362</v>
      </c>
      <c r="D42" t="s">
        <v>493</v>
      </c>
    </row>
    <row r="43" spans="1:69" x14ac:dyDescent="0.35">
      <c r="A43" t="s">
        <v>317</v>
      </c>
      <c r="B43" t="s">
        <v>257</v>
      </c>
      <c r="C43" t="s">
        <v>362</v>
      </c>
      <c r="D43" t="s">
        <v>493</v>
      </c>
    </row>
    <row r="44" spans="1:69" x14ac:dyDescent="0.35">
      <c r="A44" t="s">
        <v>134</v>
      </c>
      <c r="B44" t="s">
        <v>534</v>
      </c>
      <c r="C44" t="s">
        <v>362</v>
      </c>
      <c r="D44" t="s">
        <v>493</v>
      </c>
    </row>
    <row r="45" spans="1:69" x14ac:dyDescent="0.35">
      <c r="A45" t="s">
        <v>408</v>
      </c>
      <c r="B45" t="s">
        <v>153</v>
      </c>
      <c r="C45" t="s">
        <v>362</v>
      </c>
      <c r="D45" t="s">
        <v>493</v>
      </c>
      <c r="Z45">
        <v>5798013609.3999996</v>
      </c>
      <c r="AA45">
        <v>8359968254.8000002</v>
      </c>
      <c r="AB45">
        <v>9611696896</v>
      </c>
      <c r="AC45">
        <v>12088935352.5</v>
      </c>
      <c r="AD45">
        <v>16699215995.6</v>
      </c>
      <c r="AE45">
        <v>23719315917.200001</v>
      </c>
      <c r="AF45">
        <v>35339526722.199997</v>
      </c>
      <c r="AG45">
        <v>42438957562.400002</v>
      </c>
      <c r="AH45">
        <v>44932469163.099998</v>
      </c>
      <c r="AI45">
        <v>55301409898.800003</v>
      </c>
      <c r="AJ45">
        <v>60259186451.5</v>
      </c>
      <c r="AK45">
        <v>72538895534.699997</v>
      </c>
      <c r="AL45">
        <v>86092752669.899994</v>
      </c>
      <c r="AM45">
        <v>100667359411.3</v>
      </c>
      <c r="AN45">
        <v>118314843047</v>
      </c>
      <c r="AO45">
        <v>129037039407.60001</v>
      </c>
      <c r="AP45">
        <v>146904623209.89999</v>
      </c>
      <c r="AQ45">
        <v>144214433291.79999</v>
      </c>
      <c r="AR45">
        <v>148825573986.70001</v>
      </c>
      <c r="AS45">
        <v>145906872763.70001</v>
      </c>
      <c r="AT45">
        <v>184315443994.20001</v>
      </c>
      <c r="AU45">
        <v>185465746540.10001</v>
      </c>
      <c r="AV45">
        <v>207180503978.29999</v>
      </c>
      <c r="AW45">
        <v>247359209017.20001</v>
      </c>
      <c r="AX45">
        <v>285857036926.90002</v>
      </c>
      <c r="AY45">
        <v>326419519861.59998</v>
      </c>
      <c r="AZ45">
        <v>377749152515.90002</v>
      </c>
      <c r="BA45">
        <v>386423097229.70001</v>
      </c>
      <c r="BB45">
        <v>454495613318.59998</v>
      </c>
      <c r="BC45">
        <v>742737476056.59998</v>
      </c>
      <c r="BD45">
        <v>1054209569422.7</v>
      </c>
      <c r="BE45">
        <v>1148164368937.8</v>
      </c>
      <c r="BF45">
        <v>1480476659937.3</v>
      </c>
      <c r="BG45">
        <v>1778380562695.8999</v>
      </c>
      <c r="BH45">
        <v>1333768986063.5</v>
      </c>
      <c r="BI45">
        <v>1413904270462.7</v>
      </c>
      <c r="BJ45">
        <v>1710819944231.6001</v>
      </c>
      <c r="BK45">
        <v>1961562462976.8</v>
      </c>
      <c r="BL45">
        <v>2114161989828.3</v>
      </c>
      <c r="BM45">
        <v>2326232537961.7002</v>
      </c>
      <c r="BN45">
        <v>2724353650084.7998</v>
      </c>
      <c r="BO45">
        <v>2530502272052.6001</v>
      </c>
      <c r="BP45">
        <v>2447537483872.7998</v>
      </c>
      <c r="BQ45">
        <v>2419835436491.7998</v>
      </c>
    </row>
    <row r="46" spans="1:69" x14ac:dyDescent="0.35">
      <c r="A46" t="s">
        <v>562</v>
      </c>
      <c r="B46" t="s">
        <v>271</v>
      </c>
      <c r="C46" t="s">
        <v>362</v>
      </c>
      <c r="D46" t="s">
        <v>493</v>
      </c>
      <c r="O46">
        <v>373548111.5</v>
      </c>
      <c r="P46">
        <v>514353853.5</v>
      </c>
      <c r="Q46">
        <v>579832810.29999995</v>
      </c>
      <c r="R46">
        <v>863195403.89999998</v>
      </c>
      <c r="S46">
        <v>1066224826.3</v>
      </c>
      <c r="T46">
        <v>1464541780.7</v>
      </c>
      <c r="U46">
        <v>1827774833.5</v>
      </c>
      <c r="V46">
        <v>2572851391.8000002</v>
      </c>
      <c r="W46">
        <v>3835985363.6999998</v>
      </c>
      <c r="X46">
        <v>4772153135.6999998</v>
      </c>
      <c r="Y46">
        <v>7462430659.3999996</v>
      </c>
      <c r="Z46">
        <v>8140846170.8999996</v>
      </c>
      <c r="AA46">
        <v>8961395038.7999992</v>
      </c>
      <c r="AB46">
        <v>8858429060</v>
      </c>
      <c r="AC46">
        <v>8545882464</v>
      </c>
      <c r="AD46">
        <v>9658933260.7000008</v>
      </c>
      <c r="AE46">
        <v>11449812391</v>
      </c>
      <c r="AF46">
        <v>13577082328.799999</v>
      </c>
      <c r="AG46">
        <v>13342278908.299999</v>
      </c>
      <c r="AH46">
        <v>14820639273.799999</v>
      </c>
      <c r="AI46">
        <v>17251135160</v>
      </c>
      <c r="AJ46">
        <v>18174037181.799999</v>
      </c>
      <c r="AK46">
        <v>18546521961.099998</v>
      </c>
      <c r="AL46">
        <v>19070886308.099998</v>
      </c>
      <c r="AM46">
        <v>17395169456.900002</v>
      </c>
      <c r="AN46">
        <v>18898425486.5</v>
      </c>
      <c r="AO46">
        <v>19523620342.200001</v>
      </c>
      <c r="AP46">
        <v>15608687763.299999</v>
      </c>
      <c r="AQ46">
        <v>14851815127.1</v>
      </c>
      <c r="AR46">
        <v>13221902540.700001</v>
      </c>
      <c r="AS46">
        <v>12059905375.799999</v>
      </c>
      <c r="AT46">
        <v>11620368633.5</v>
      </c>
      <c r="AU46">
        <v>11708673980.200001</v>
      </c>
      <c r="AV46">
        <v>11680518563.4</v>
      </c>
      <c r="AW46">
        <v>13178855340.299999</v>
      </c>
      <c r="AX46">
        <v>12010684931.6</v>
      </c>
      <c r="AY46">
        <v>13644008874.799999</v>
      </c>
      <c r="AZ46">
        <v>14385487798.1</v>
      </c>
      <c r="BA46">
        <v>12967578597.9</v>
      </c>
      <c r="BB46">
        <v>14894754579.1</v>
      </c>
      <c r="BC46">
        <v>11702345832.299999</v>
      </c>
      <c r="BD46">
        <v>12789988721.200001</v>
      </c>
      <c r="BE46">
        <v>9542138431.7000008</v>
      </c>
      <c r="BF46">
        <v>9853173126.3999996</v>
      </c>
      <c r="BG46">
        <v>9803934265.7999992</v>
      </c>
      <c r="BH46">
        <v>11386054127.4</v>
      </c>
      <c r="BI46">
        <v>11454555251.299999</v>
      </c>
      <c r="BJ46">
        <v>13445697856.299999</v>
      </c>
      <c r="BK46">
        <v>16193842633.1</v>
      </c>
      <c r="BL46">
        <v>19827818563.5</v>
      </c>
      <c r="BM46">
        <v>25111277382.599998</v>
      </c>
      <c r="BN46">
        <v>29772502067.299999</v>
      </c>
      <c r="BO46">
        <v>31623476790.299999</v>
      </c>
      <c r="BP46">
        <v>36355703861.599998</v>
      </c>
      <c r="BQ46">
        <v>40560965965.099998</v>
      </c>
    </row>
    <row r="47" spans="1:69" x14ac:dyDescent="0.35">
      <c r="A47" t="s">
        <v>606</v>
      </c>
      <c r="B47" t="s">
        <v>62</v>
      </c>
      <c r="C47" t="s">
        <v>362</v>
      </c>
      <c r="D47" t="s">
        <v>493</v>
      </c>
      <c r="O47">
        <v>145926448.09999999</v>
      </c>
      <c r="P47">
        <v>180102180.30000001</v>
      </c>
      <c r="Q47">
        <v>221568381.90000001</v>
      </c>
      <c r="R47">
        <v>265900308.59999999</v>
      </c>
      <c r="S47">
        <v>323585813.69999999</v>
      </c>
      <c r="T47">
        <v>441409824.39999998</v>
      </c>
      <c r="U47">
        <v>610919470</v>
      </c>
      <c r="V47">
        <v>1112883432.3</v>
      </c>
      <c r="W47">
        <v>1529103944.0999999</v>
      </c>
      <c r="X47">
        <v>2172010618.9000001</v>
      </c>
      <c r="Y47">
        <v>2572800048.4000001</v>
      </c>
      <c r="Z47">
        <v>2646367541.9000001</v>
      </c>
      <c r="AA47">
        <v>2802933669.5999999</v>
      </c>
      <c r="AB47">
        <v>2895588378.0999999</v>
      </c>
      <c r="AC47">
        <v>2895906089.5999999</v>
      </c>
      <c r="AD47">
        <v>3161506000.8000002</v>
      </c>
      <c r="AE47">
        <v>4137225986</v>
      </c>
      <c r="AF47">
        <v>4588512728.6999998</v>
      </c>
      <c r="AG47">
        <v>4812725442.1999998</v>
      </c>
      <c r="AH47">
        <v>5364587527.1000004</v>
      </c>
      <c r="AI47">
        <v>6562505108</v>
      </c>
      <c r="AJ47">
        <v>6767223905.8999996</v>
      </c>
      <c r="AK47">
        <v>7514931937.1999998</v>
      </c>
      <c r="AL47">
        <v>7745306458.5</v>
      </c>
      <c r="AM47">
        <v>9358516039</v>
      </c>
      <c r="AN47">
        <v>10953419023.299999</v>
      </c>
      <c r="AO47">
        <v>11074529701.299999</v>
      </c>
      <c r="AP47">
        <v>10751459761.799999</v>
      </c>
      <c r="AQ47">
        <v>11317978713.1</v>
      </c>
      <c r="AR47">
        <v>10765384769.6</v>
      </c>
      <c r="AS47">
        <v>10561281361.4</v>
      </c>
      <c r="AT47">
        <v>9748844313</v>
      </c>
      <c r="AU47">
        <v>10285903206</v>
      </c>
      <c r="AV47">
        <v>11408147625.6</v>
      </c>
      <c r="AW47">
        <v>10855782708.200001</v>
      </c>
      <c r="AX47">
        <v>7700089817.8999996</v>
      </c>
      <c r="AY47">
        <v>3418558775.6999998</v>
      </c>
      <c r="AZ47">
        <v>3085552120.6999998</v>
      </c>
      <c r="BA47">
        <v>2835553588.4000001</v>
      </c>
      <c r="BB47">
        <v>3237320906.9000001</v>
      </c>
      <c r="BC47">
        <v>3190178368.6999998</v>
      </c>
      <c r="BD47">
        <v>3094521348.4000001</v>
      </c>
      <c r="BE47">
        <v>3887899904.6999998</v>
      </c>
      <c r="BF47">
        <v>5177990160</v>
      </c>
      <c r="BG47">
        <v>5765541169.1000004</v>
      </c>
      <c r="BH47">
        <v>7304904667</v>
      </c>
      <c r="BI47">
        <v>7890233642.1999998</v>
      </c>
      <c r="BJ47">
        <v>10049854104.799999</v>
      </c>
      <c r="BK47">
        <v>11004928184.799999</v>
      </c>
      <c r="BL47">
        <v>12928642115.200001</v>
      </c>
      <c r="BM47">
        <v>14723493939.9</v>
      </c>
      <c r="BN47">
        <v>15377892944.4</v>
      </c>
      <c r="BO47">
        <v>15122663059.799999</v>
      </c>
      <c r="BP47">
        <v>15402026302.1</v>
      </c>
      <c r="BQ47">
        <v>15770789430.1</v>
      </c>
    </row>
    <row r="48" spans="1:69" x14ac:dyDescent="0.35">
      <c r="A48" t="s">
        <v>400</v>
      </c>
      <c r="B48" t="s">
        <v>183</v>
      </c>
      <c r="C48" t="s">
        <v>362</v>
      </c>
      <c r="D48" t="s">
        <v>493</v>
      </c>
      <c r="O48">
        <v>345217589.60000002</v>
      </c>
      <c r="P48">
        <v>410049468.89999998</v>
      </c>
      <c r="Q48">
        <v>676590008.10000002</v>
      </c>
      <c r="R48">
        <v>1046506468.9</v>
      </c>
      <c r="S48">
        <v>1538500031.9000001</v>
      </c>
      <c r="T48">
        <v>2038607507.3</v>
      </c>
      <c r="U48">
        <v>2918448483.1999998</v>
      </c>
      <c r="V48">
        <v>3661969554</v>
      </c>
      <c r="W48">
        <v>4491696535</v>
      </c>
      <c r="X48">
        <v>4527133846</v>
      </c>
      <c r="Y48">
        <v>4770687541.1999998</v>
      </c>
      <c r="Z48">
        <v>5090789469</v>
      </c>
      <c r="AA48">
        <v>5078792918.5</v>
      </c>
      <c r="AB48">
        <v>5335734298.6000004</v>
      </c>
      <c r="AC48">
        <v>5289765975.5</v>
      </c>
      <c r="AD48">
        <v>6171267764.3999996</v>
      </c>
      <c r="AE48">
        <v>7190751346.8999996</v>
      </c>
      <c r="AF48">
        <v>8749837481.8999996</v>
      </c>
      <c r="AG48">
        <v>8553690732.6000004</v>
      </c>
      <c r="AH48">
        <v>9243644818.8999996</v>
      </c>
      <c r="AI48">
        <v>10250731587</v>
      </c>
      <c r="AJ48">
        <v>10831930650.9</v>
      </c>
      <c r="AK48">
        <v>10995017088.9</v>
      </c>
      <c r="AL48">
        <v>11263657313.4</v>
      </c>
      <c r="AM48">
        <v>12311690430.299999</v>
      </c>
      <c r="AN48">
        <v>13229233701.9</v>
      </c>
      <c r="AO48">
        <v>12819900506.700001</v>
      </c>
      <c r="AP48">
        <v>12326993316.6</v>
      </c>
      <c r="AQ48">
        <v>13192158065.4</v>
      </c>
      <c r="AR48">
        <v>12155730264.700001</v>
      </c>
      <c r="AS48">
        <v>11804397525.6</v>
      </c>
      <c r="AT48">
        <v>11612181086.799999</v>
      </c>
      <c r="AU48">
        <v>10051613856</v>
      </c>
      <c r="AV48">
        <v>11433512788</v>
      </c>
      <c r="AW48">
        <v>11524216857.1</v>
      </c>
      <c r="AX48">
        <v>10683990345.299999</v>
      </c>
      <c r="AY48">
        <v>11326304418.6</v>
      </c>
      <c r="AZ48">
        <v>12459468772.6</v>
      </c>
      <c r="BA48">
        <v>12296407089.799999</v>
      </c>
      <c r="BB48">
        <v>13093042023.200001</v>
      </c>
      <c r="BC48">
        <v>5682022045.6000004</v>
      </c>
      <c r="BD48">
        <v>5135330445.3000002</v>
      </c>
      <c r="BE48">
        <v>5277359181.5</v>
      </c>
      <c r="BF48">
        <v>6288532451.6999998</v>
      </c>
      <c r="BG48">
        <v>5637945726.3000002</v>
      </c>
      <c r="BH48">
        <v>5484009515.5</v>
      </c>
      <c r="BI48">
        <v>5218340595.8999996</v>
      </c>
      <c r="BJ48">
        <v>5291550589.1000004</v>
      </c>
      <c r="BK48">
        <v>6605921744.5</v>
      </c>
      <c r="BL48">
        <v>7215429285.1000004</v>
      </c>
      <c r="BM48">
        <v>8476182135.1999998</v>
      </c>
      <c r="BN48">
        <v>10483933522.9</v>
      </c>
      <c r="BO48">
        <v>10683388144.1</v>
      </c>
      <c r="BP48">
        <v>12008049639.200001</v>
      </c>
      <c r="BQ48">
        <v>12484889882.1</v>
      </c>
    </row>
    <row r="49" spans="1:69" x14ac:dyDescent="0.35">
      <c r="A49" t="s">
        <v>315</v>
      </c>
      <c r="B49" t="s">
        <v>329</v>
      </c>
      <c r="C49" t="s">
        <v>362</v>
      </c>
      <c r="D49" t="s">
        <v>493</v>
      </c>
      <c r="O49">
        <v>118823126.3</v>
      </c>
      <c r="P49">
        <v>139971709.69999999</v>
      </c>
      <c r="Q49">
        <v>158183945.80000001</v>
      </c>
      <c r="R49">
        <v>189108209.69999999</v>
      </c>
      <c r="S49">
        <v>260490120.59999999</v>
      </c>
      <c r="T49">
        <v>357190252.80000001</v>
      </c>
      <c r="U49">
        <v>381343477.10000002</v>
      </c>
      <c r="V49">
        <v>578772687.5</v>
      </c>
      <c r="W49">
        <v>782939134.20000005</v>
      </c>
      <c r="X49">
        <v>1056884917.1</v>
      </c>
      <c r="Y49">
        <v>1527071937.9000001</v>
      </c>
      <c r="Z49">
        <v>1493614161.3</v>
      </c>
      <c r="AA49">
        <v>1959124338.3</v>
      </c>
      <c r="AB49">
        <v>2024885249.4000001</v>
      </c>
      <c r="AC49">
        <v>2062648691.0999999</v>
      </c>
      <c r="AD49">
        <v>3041335207.5</v>
      </c>
      <c r="AE49">
        <v>3504475080.8000002</v>
      </c>
      <c r="AF49">
        <v>4282641894.3000002</v>
      </c>
      <c r="AG49">
        <v>4050960428.5999999</v>
      </c>
      <c r="AH49">
        <v>4230144754</v>
      </c>
      <c r="AI49">
        <v>4916034648.1999998</v>
      </c>
      <c r="AJ49">
        <v>4786605644.8000002</v>
      </c>
      <c r="AK49">
        <v>4725658540</v>
      </c>
      <c r="AL49">
        <v>5092940382.6000004</v>
      </c>
      <c r="AM49">
        <v>5414066741.8000002</v>
      </c>
      <c r="AN49">
        <v>6009994883.8999996</v>
      </c>
      <c r="AO49">
        <v>5220897392.3999996</v>
      </c>
      <c r="AP49">
        <v>5032532283.5</v>
      </c>
      <c r="AQ49">
        <v>5100294660.3000002</v>
      </c>
      <c r="AR49">
        <v>5028225458.1000004</v>
      </c>
      <c r="AS49">
        <v>4675949721.5</v>
      </c>
      <c r="AT49">
        <v>4820677198.8000002</v>
      </c>
      <c r="AU49">
        <v>5012243895.3000002</v>
      </c>
      <c r="AV49">
        <v>5537629589.3000002</v>
      </c>
      <c r="AW49">
        <v>6834196169.1000004</v>
      </c>
      <c r="AX49">
        <v>6294723995.8999996</v>
      </c>
      <c r="AY49">
        <v>6685623799.6999998</v>
      </c>
      <c r="AZ49">
        <v>5281147795.3999996</v>
      </c>
      <c r="BA49">
        <v>5237381716</v>
      </c>
      <c r="BB49">
        <v>5054247770.6999998</v>
      </c>
      <c r="BC49">
        <v>2796299602.1999998</v>
      </c>
      <c r="BD49">
        <v>3191826925.6999998</v>
      </c>
      <c r="BE49">
        <v>3585365797.8000002</v>
      </c>
      <c r="BF49">
        <v>4201103943.6999998</v>
      </c>
      <c r="BG49">
        <v>5724086140.6999998</v>
      </c>
      <c r="BH49">
        <v>6776694503.3999996</v>
      </c>
      <c r="BI49">
        <v>6666379338.6999998</v>
      </c>
      <c r="BJ49">
        <v>7327526314.8000002</v>
      </c>
      <c r="BK49">
        <v>7043574267.8999996</v>
      </c>
      <c r="BL49">
        <v>8397253562.3000002</v>
      </c>
      <c r="BM49">
        <v>8223877439.1999998</v>
      </c>
      <c r="BN49">
        <v>8150736304</v>
      </c>
      <c r="BO49">
        <v>7329997141.3999996</v>
      </c>
      <c r="BP49">
        <v>6870144773.1999998</v>
      </c>
      <c r="BQ49">
        <v>6728317971.3999996</v>
      </c>
    </row>
    <row r="50" spans="1:69" x14ac:dyDescent="0.35">
      <c r="A50" t="s">
        <v>453</v>
      </c>
      <c r="B50" t="s">
        <v>244</v>
      </c>
      <c r="C50" t="s">
        <v>362</v>
      </c>
      <c r="D50" t="s">
        <v>493</v>
      </c>
      <c r="O50">
        <v>2337070268.9000001</v>
      </c>
      <c r="P50">
        <v>2635933295.3000002</v>
      </c>
      <c r="Q50">
        <v>2964726928.5999999</v>
      </c>
      <c r="R50">
        <v>3326835665.1999998</v>
      </c>
      <c r="S50">
        <v>3515017082.6999998</v>
      </c>
      <c r="T50">
        <v>3934674960.3000002</v>
      </c>
      <c r="U50">
        <v>4123797359.3000002</v>
      </c>
      <c r="V50">
        <v>5232469210.6000004</v>
      </c>
      <c r="W50">
        <v>5286643740.8999996</v>
      </c>
      <c r="X50">
        <v>6056966897.1000004</v>
      </c>
      <c r="Y50">
        <v>7135607164.5</v>
      </c>
      <c r="Z50">
        <v>8925377457.3999996</v>
      </c>
      <c r="AA50">
        <v>10519983135.4</v>
      </c>
      <c r="AB50">
        <v>11639494606.6</v>
      </c>
      <c r="AC50">
        <v>12274130804.799999</v>
      </c>
      <c r="AD50">
        <v>14474612765.200001</v>
      </c>
      <c r="AE50">
        <v>15583214225.9</v>
      </c>
      <c r="AF50">
        <v>17237208187.299999</v>
      </c>
      <c r="AG50">
        <v>17214277533.700001</v>
      </c>
      <c r="AH50">
        <v>17075305862.5</v>
      </c>
      <c r="AI50">
        <v>17411174140.200001</v>
      </c>
      <c r="AJ50">
        <v>17383347947.799999</v>
      </c>
      <c r="AK50">
        <v>17560822308.200001</v>
      </c>
      <c r="AL50">
        <v>19227912007.599998</v>
      </c>
      <c r="AM50">
        <v>22219527944.099998</v>
      </c>
      <c r="AN50">
        <v>25347081126.700001</v>
      </c>
      <c r="AO50">
        <v>29206623223.099998</v>
      </c>
      <c r="AP50">
        <v>32277648233.599998</v>
      </c>
      <c r="AQ50">
        <v>33420800455.200001</v>
      </c>
      <c r="AR50">
        <v>34845494450.5</v>
      </c>
      <c r="AS50">
        <v>34329248550.599998</v>
      </c>
      <c r="AT50">
        <v>36614196486.300003</v>
      </c>
      <c r="AU50">
        <v>33581481521.5</v>
      </c>
      <c r="AV50">
        <v>37324166936.199997</v>
      </c>
      <c r="AW50">
        <v>38237909040.199997</v>
      </c>
      <c r="AX50">
        <v>37497341480</v>
      </c>
      <c r="AY50">
        <v>38621303304.599998</v>
      </c>
      <c r="AZ50">
        <v>44323265169.800003</v>
      </c>
      <c r="BA50">
        <v>47039916554.300003</v>
      </c>
      <c r="BB50">
        <v>53678222227.400002</v>
      </c>
      <c r="BC50">
        <v>64432098617.300003</v>
      </c>
      <c r="BD50">
        <v>76162726605.399994</v>
      </c>
      <c r="BE50">
        <v>79252462685.399994</v>
      </c>
      <c r="BF50">
        <v>92652963348.300003</v>
      </c>
      <c r="BG50">
        <v>104660028439.7</v>
      </c>
      <c r="BH50">
        <v>113419683932.3</v>
      </c>
      <c r="BI50">
        <v>120886231723.7</v>
      </c>
      <c r="BJ50">
        <v>126232114685.3</v>
      </c>
      <c r="BK50">
        <v>133418271143.3</v>
      </c>
      <c r="BL50">
        <v>139077632215</v>
      </c>
      <c r="BM50">
        <v>155866446816.39999</v>
      </c>
      <c r="BN50">
        <v>172248574075</v>
      </c>
      <c r="BO50">
        <v>184496121410.20001</v>
      </c>
      <c r="BP50">
        <v>196165876816.20001</v>
      </c>
      <c r="BQ50">
        <v>201763641280.39999</v>
      </c>
    </row>
    <row r="51" spans="1:69" x14ac:dyDescent="0.35">
      <c r="A51" t="s">
        <v>291</v>
      </c>
      <c r="B51" t="s">
        <v>287</v>
      </c>
      <c r="C51" t="s">
        <v>362</v>
      </c>
      <c r="D51" t="s">
        <v>493</v>
      </c>
      <c r="O51">
        <v>1172240.8</v>
      </c>
      <c r="P51">
        <v>1238316</v>
      </c>
      <c r="Q51">
        <v>1506741.7</v>
      </c>
      <c r="R51">
        <v>1691961.4</v>
      </c>
      <c r="S51">
        <v>4294057.5</v>
      </c>
      <c r="T51">
        <v>4721546</v>
      </c>
      <c r="U51">
        <v>18516825.300000001</v>
      </c>
      <c r="V51">
        <v>24523586.399999999</v>
      </c>
      <c r="W51">
        <v>29353464.899999999</v>
      </c>
      <c r="X51">
        <v>40107759</v>
      </c>
      <c r="Y51">
        <v>43977472.899999999</v>
      </c>
      <c r="Z51">
        <v>54854843.399999999</v>
      </c>
      <c r="AA51">
        <v>68943862.900000006</v>
      </c>
      <c r="AB51">
        <v>85804560.099999994</v>
      </c>
      <c r="AC51">
        <v>104792039.2</v>
      </c>
      <c r="AD51">
        <v>134214350.2</v>
      </c>
      <c r="AE51">
        <v>166566409.19999999</v>
      </c>
      <c r="AF51">
        <v>203347529.5</v>
      </c>
      <c r="AG51">
        <v>199821386.30000001</v>
      </c>
      <c r="AH51">
        <v>174684281.40000001</v>
      </c>
      <c r="AI51">
        <v>184825142.09999999</v>
      </c>
      <c r="AJ51">
        <v>179473164.40000001</v>
      </c>
      <c r="AK51">
        <v>187894213.80000001</v>
      </c>
      <c r="AL51">
        <v>185123541.69999999</v>
      </c>
      <c r="AM51">
        <v>197159439.09999999</v>
      </c>
      <c r="AN51">
        <v>208925905.40000001</v>
      </c>
      <c r="AO51">
        <v>220902346.90000001</v>
      </c>
      <c r="AP51">
        <v>222230696.30000001</v>
      </c>
      <c r="AQ51">
        <v>229844128.30000001</v>
      </c>
      <c r="AR51">
        <v>231531804.5</v>
      </c>
      <c r="AS51">
        <v>232285377.40000001</v>
      </c>
      <c r="AT51">
        <v>242747448.09999999</v>
      </c>
      <c r="AU51">
        <v>270536977.60000002</v>
      </c>
      <c r="AV51">
        <v>289991668.19999999</v>
      </c>
      <c r="AW51">
        <v>304262777.80000001</v>
      </c>
      <c r="AX51">
        <v>288623246</v>
      </c>
      <c r="AY51">
        <v>293423707</v>
      </c>
      <c r="AZ51">
        <v>287667291</v>
      </c>
      <c r="BA51">
        <v>276201185.10000002</v>
      </c>
      <c r="BB51">
        <v>286766514</v>
      </c>
      <c r="BC51">
        <v>278373937.80000001</v>
      </c>
      <c r="BD51">
        <v>275725988.19999999</v>
      </c>
      <c r="BE51">
        <v>252320769.59999999</v>
      </c>
      <c r="BF51">
        <v>142571305</v>
      </c>
      <c r="BG51">
        <v>136793606.40000001</v>
      </c>
      <c r="BH51">
        <v>125602671.90000001</v>
      </c>
      <c r="BI51">
        <v>175006571.80000001</v>
      </c>
      <c r="BJ51">
        <v>181646215</v>
      </c>
      <c r="BK51">
        <v>267255184.80000001</v>
      </c>
      <c r="BL51">
        <v>270730976.39999998</v>
      </c>
      <c r="BM51">
        <v>304821396</v>
      </c>
      <c r="BN51">
        <v>351494067.19999999</v>
      </c>
      <c r="BO51">
        <v>362101264.80000001</v>
      </c>
      <c r="BP51">
        <v>381730460.19999999</v>
      </c>
      <c r="BQ51">
        <v>385570286.60000002</v>
      </c>
    </row>
    <row r="52" spans="1:69" x14ac:dyDescent="0.35">
      <c r="A52" t="s">
        <v>399</v>
      </c>
      <c r="B52" t="s">
        <v>461</v>
      </c>
      <c r="C52" t="s">
        <v>362</v>
      </c>
      <c r="D52" t="s">
        <v>493</v>
      </c>
      <c r="Z52">
        <v>39376101.899999999</v>
      </c>
      <c r="AA52">
        <v>59016887.399999999</v>
      </c>
      <c r="AB52">
        <v>71696307</v>
      </c>
      <c r="AC52">
        <v>76251079.200000003</v>
      </c>
      <c r="AD52">
        <v>94918904.299999997</v>
      </c>
      <c r="AE52">
        <v>113301983.5</v>
      </c>
      <c r="AF52">
        <v>129541097.3</v>
      </c>
      <c r="AG52">
        <v>124352364</v>
      </c>
      <c r="AH52">
        <v>126041739.90000001</v>
      </c>
      <c r="AI52">
        <v>133755465</v>
      </c>
      <c r="AJ52">
        <v>134240227.19999999</v>
      </c>
      <c r="AK52">
        <v>141994227</v>
      </c>
      <c r="AL52">
        <v>147571336.80000001</v>
      </c>
      <c r="AM52">
        <v>175919927.30000001</v>
      </c>
      <c r="AN52">
        <v>214117753.80000001</v>
      </c>
      <c r="AO52">
        <v>202637635.80000001</v>
      </c>
      <c r="AP52">
        <v>206529452.30000001</v>
      </c>
      <c r="AQ52">
        <v>246754113.59999999</v>
      </c>
      <c r="AR52">
        <v>328538337</v>
      </c>
      <c r="AS52">
        <v>319703769.19999999</v>
      </c>
      <c r="AT52">
        <v>345641178.30000001</v>
      </c>
      <c r="AU52">
        <v>387894289.80000001</v>
      </c>
      <c r="AV52">
        <v>441401882.30000001</v>
      </c>
      <c r="AW52">
        <v>464179206.69999999</v>
      </c>
      <c r="AX52">
        <v>477481514.39999998</v>
      </c>
      <c r="AY52">
        <v>524173293.19999999</v>
      </c>
      <c r="AZ52">
        <v>580581230.60000002</v>
      </c>
      <c r="BA52">
        <v>626141362.5</v>
      </c>
      <c r="BB52">
        <v>724585647.39999998</v>
      </c>
      <c r="BC52">
        <v>884895435.60000002</v>
      </c>
      <c r="BD52">
        <v>1041521701</v>
      </c>
      <c r="BE52">
        <v>1607699439.0999999</v>
      </c>
      <c r="BF52">
        <v>1968454491.0999999</v>
      </c>
      <c r="BG52">
        <v>1852837788.5999999</v>
      </c>
      <c r="BH52">
        <v>1841259211.7</v>
      </c>
      <c r="BI52">
        <v>1837379413.5999999</v>
      </c>
      <c r="BJ52">
        <v>2115033204</v>
      </c>
      <c r="BK52">
        <v>2090969867.7</v>
      </c>
      <c r="BL52">
        <v>2153271383.5</v>
      </c>
      <c r="BM52">
        <v>2429314534.4000001</v>
      </c>
      <c r="BN52">
        <v>2456644490</v>
      </c>
      <c r="BO52">
        <v>2402574451.3000002</v>
      </c>
      <c r="BP52">
        <v>2462649634.5999999</v>
      </c>
      <c r="BQ52">
        <v>2359581722.1999998</v>
      </c>
    </row>
    <row r="53" spans="1:69" x14ac:dyDescent="0.35">
      <c r="A53" t="s">
        <v>277</v>
      </c>
      <c r="B53" t="s">
        <v>8</v>
      </c>
      <c r="C53" t="s">
        <v>362</v>
      </c>
      <c r="D53" t="s">
        <v>493</v>
      </c>
    </row>
    <row r="54" spans="1:69" x14ac:dyDescent="0.35">
      <c r="A54" t="s">
        <v>278</v>
      </c>
      <c r="B54" t="s">
        <v>239</v>
      </c>
      <c r="C54" t="s">
        <v>362</v>
      </c>
      <c r="D54" t="s">
        <v>493</v>
      </c>
    </row>
    <row r="55" spans="1:69" x14ac:dyDescent="0.35">
      <c r="A55" t="s">
        <v>79</v>
      </c>
      <c r="B55" t="s">
        <v>203</v>
      </c>
      <c r="C55" t="s">
        <v>362</v>
      </c>
      <c r="D55" t="s">
        <v>493</v>
      </c>
    </row>
    <row r="56" spans="1:69" x14ac:dyDescent="0.35">
      <c r="A56" t="s">
        <v>300</v>
      </c>
      <c r="B56" t="s">
        <v>80</v>
      </c>
      <c r="C56" t="s">
        <v>362</v>
      </c>
      <c r="D56" t="s">
        <v>493</v>
      </c>
    </row>
    <row r="57" spans="1:69" x14ac:dyDescent="0.35">
      <c r="A57" t="s">
        <v>386</v>
      </c>
      <c r="B57" t="s">
        <v>530</v>
      </c>
      <c r="C57" t="s">
        <v>362</v>
      </c>
      <c r="D57" t="s">
        <v>493</v>
      </c>
    </row>
    <row r="58" spans="1:69" x14ac:dyDescent="0.35">
      <c r="A58" t="s">
        <v>360</v>
      </c>
      <c r="B58" t="s">
        <v>204</v>
      </c>
      <c r="C58" t="s">
        <v>362</v>
      </c>
      <c r="D58" t="s">
        <v>493</v>
      </c>
    </row>
    <row r="59" spans="1:69" x14ac:dyDescent="0.35">
      <c r="A59" t="s">
        <v>283</v>
      </c>
      <c r="B59" t="s">
        <v>546</v>
      </c>
      <c r="C59" t="s">
        <v>362</v>
      </c>
      <c r="D59" t="s">
        <v>493</v>
      </c>
    </row>
    <row r="60" spans="1:69" x14ac:dyDescent="0.35">
      <c r="A60" t="s">
        <v>388</v>
      </c>
      <c r="B60" t="s">
        <v>391</v>
      </c>
      <c r="C60" t="s">
        <v>362</v>
      </c>
      <c r="D60" t="s">
        <v>493</v>
      </c>
    </row>
    <row r="61" spans="1:69" x14ac:dyDescent="0.35">
      <c r="A61" t="s">
        <v>16</v>
      </c>
      <c r="B61" t="s">
        <v>198</v>
      </c>
      <c r="C61" t="s">
        <v>362</v>
      </c>
      <c r="D61" t="s">
        <v>493</v>
      </c>
      <c r="O61">
        <v>2594794.2000000002</v>
      </c>
      <c r="P61">
        <v>2637248.5</v>
      </c>
      <c r="Q61">
        <v>5368001.3</v>
      </c>
      <c r="R61">
        <v>6284821.9000000004</v>
      </c>
      <c r="S61">
        <v>8215540.5</v>
      </c>
      <c r="T61">
        <v>12235670.800000001</v>
      </c>
      <c r="U61">
        <v>17257778.399999999</v>
      </c>
      <c r="V61">
        <v>19240608.5</v>
      </c>
      <c r="W61">
        <v>21045654.300000001</v>
      </c>
      <c r="X61">
        <v>20521872.5</v>
      </c>
      <c r="Y61">
        <v>25819344.899999999</v>
      </c>
      <c r="Z61">
        <v>19839075.300000001</v>
      </c>
      <c r="AA61">
        <v>24412686.699999999</v>
      </c>
      <c r="AB61">
        <v>33566963.799999997</v>
      </c>
      <c r="AC61">
        <v>62016208.700000003</v>
      </c>
      <c r="AD61">
        <v>95976961.900000006</v>
      </c>
      <c r="AE61">
        <v>119266842.7</v>
      </c>
      <c r="AF61">
        <v>154398153.59999999</v>
      </c>
      <c r="AG61">
        <v>158287377.69999999</v>
      </c>
      <c r="AH61">
        <v>131250168.3</v>
      </c>
      <c r="AI61">
        <v>155287776.59999999</v>
      </c>
      <c r="AJ61">
        <v>204846570</v>
      </c>
      <c r="AK61">
        <v>219983628.19999999</v>
      </c>
      <c r="AL61">
        <v>232491922.30000001</v>
      </c>
      <c r="AM61">
        <v>257722565.5</v>
      </c>
      <c r="AN61">
        <v>272609469.80000001</v>
      </c>
      <c r="AO61">
        <v>287861627.60000002</v>
      </c>
      <c r="AP61">
        <v>262911137.80000001</v>
      </c>
      <c r="AQ61">
        <v>279286678.69999999</v>
      </c>
      <c r="AR61">
        <v>269605349.69999999</v>
      </c>
      <c r="AS61">
        <v>297885046.69999999</v>
      </c>
      <c r="AT61">
        <v>299712992.60000002</v>
      </c>
      <c r="AU61">
        <v>358712496.19999999</v>
      </c>
      <c r="AV61">
        <v>395630618.80000001</v>
      </c>
      <c r="AW61">
        <v>460336601.10000002</v>
      </c>
      <c r="AX61">
        <v>486891630.5</v>
      </c>
      <c r="AY61">
        <v>566640519.70000005</v>
      </c>
      <c r="AZ61">
        <v>810010699.39999998</v>
      </c>
      <c r="BA61">
        <v>845231817.29999995</v>
      </c>
      <c r="BB61">
        <v>898678026.10000002</v>
      </c>
      <c r="BC61">
        <v>768541095.70000005</v>
      </c>
      <c r="BD61">
        <v>769520335.70000005</v>
      </c>
      <c r="BE61">
        <v>802385752.10000002</v>
      </c>
      <c r="BF61">
        <v>820599815.10000002</v>
      </c>
      <c r="BG61">
        <v>943103980.60000002</v>
      </c>
      <c r="BH61">
        <v>1227496569.5999999</v>
      </c>
      <c r="BI61">
        <v>1702240895.4000001</v>
      </c>
      <c r="BJ61">
        <v>2266964232.8000002</v>
      </c>
      <c r="BK61">
        <v>2321379194.6999998</v>
      </c>
      <c r="BL61">
        <v>2552579803.4000001</v>
      </c>
      <c r="BM61">
        <v>2900369858.3000002</v>
      </c>
      <c r="BN61">
        <v>3206547225.4000001</v>
      </c>
      <c r="BO61">
        <v>3170133063.9000001</v>
      </c>
      <c r="BP61">
        <v>3428806710.3000002</v>
      </c>
      <c r="BQ61">
        <v>3457016382.4000001</v>
      </c>
    </row>
    <row r="62" spans="1:69" x14ac:dyDescent="0.35">
      <c r="A62" t="s">
        <v>564</v>
      </c>
      <c r="B62" t="s">
        <v>211</v>
      </c>
      <c r="C62" t="s">
        <v>362</v>
      </c>
      <c r="D62" t="s">
        <v>493</v>
      </c>
      <c r="Z62">
        <v>14433362</v>
      </c>
      <c r="AA62">
        <v>20521207.300000001</v>
      </c>
      <c r="AB62">
        <v>39153669.799999997</v>
      </c>
      <c r="AC62">
        <v>51482178.399999999</v>
      </c>
      <c r="AD62">
        <v>58688420.899999999</v>
      </c>
      <c r="AE62">
        <v>61404138.200000003</v>
      </c>
      <c r="AF62">
        <v>75382488.200000003</v>
      </c>
      <c r="AG62">
        <v>76660400.700000003</v>
      </c>
      <c r="AH62">
        <v>80613353.700000003</v>
      </c>
      <c r="AI62">
        <v>90754904.799999997</v>
      </c>
      <c r="AJ62">
        <v>98099584.900000006</v>
      </c>
      <c r="AK62">
        <v>97714468.799999997</v>
      </c>
      <c r="AL62">
        <v>98251335.700000003</v>
      </c>
      <c r="AM62">
        <v>99698516.299999997</v>
      </c>
      <c r="AN62">
        <v>104872376.3</v>
      </c>
      <c r="AO62">
        <v>116474724</v>
      </c>
      <c r="AP62">
        <v>105116658.40000001</v>
      </c>
      <c r="AQ62">
        <v>113898854.90000001</v>
      </c>
      <c r="AR62">
        <v>134177325.7</v>
      </c>
      <c r="AS62">
        <v>183329449.5</v>
      </c>
      <c r="AT62">
        <v>232891070.59999999</v>
      </c>
      <c r="AU62">
        <v>248883164.5</v>
      </c>
      <c r="AV62">
        <v>307393729.19999999</v>
      </c>
      <c r="AW62">
        <v>324952433</v>
      </c>
      <c r="AX62">
        <v>294216801.60000002</v>
      </c>
      <c r="AY62">
        <v>272826815</v>
      </c>
      <c r="AZ62">
        <v>265526478.09999999</v>
      </c>
      <c r="BA62">
        <v>260470785.80000001</v>
      </c>
      <c r="BB62">
        <v>271883558.10000002</v>
      </c>
      <c r="BC62">
        <v>271398373.19999999</v>
      </c>
      <c r="BD62">
        <v>280448697.39999998</v>
      </c>
      <c r="BE62">
        <v>304777493.69999999</v>
      </c>
      <c r="BF62">
        <v>488948659</v>
      </c>
      <c r="BG62">
        <v>481925897.19999999</v>
      </c>
      <c r="BH62">
        <v>496007934.80000001</v>
      </c>
      <c r="BI62">
        <v>536051362.89999998</v>
      </c>
      <c r="BJ62">
        <v>521050824.89999998</v>
      </c>
      <c r="BK62">
        <v>505427809</v>
      </c>
      <c r="BL62">
        <v>460210461.39999998</v>
      </c>
      <c r="BM62">
        <v>480930079.60000002</v>
      </c>
      <c r="BN62">
        <v>509985025.60000002</v>
      </c>
      <c r="BO62">
        <v>599233701.70000005</v>
      </c>
      <c r="BP62">
        <v>592225919.10000002</v>
      </c>
      <c r="BQ62">
        <v>569530343</v>
      </c>
    </row>
    <row r="63" spans="1:69" x14ac:dyDescent="0.35">
      <c r="A63" t="s">
        <v>251</v>
      </c>
      <c r="B63" t="s">
        <v>430</v>
      </c>
      <c r="C63" t="s">
        <v>362</v>
      </c>
      <c r="D63" t="s">
        <v>493</v>
      </c>
    </row>
    <row r="64" spans="1:69" x14ac:dyDescent="0.35">
      <c r="A64" t="s">
        <v>339</v>
      </c>
      <c r="B64" t="s">
        <v>582</v>
      </c>
      <c r="C64" t="s">
        <v>362</v>
      </c>
      <c r="D64" t="s">
        <v>493</v>
      </c>
      <c r="O64">
        <v>389548000</v>
      </c>
      <c r="P64">
        <v>439941275</v>
      </c>
      <c r="Q64">
        <v>480997700</v>
      </c>
      <c r="R64">
        <v>516415715.80000001</v>
      </c>
      <c r="S64">
        <v>625955086.10000002</v>
      </c>
      <c r="T64">
        <v>729788380.39999998</v>
      </c>
      <c r="U64">
        <v>875533547.70000005</v>
      </c>
      <c r="V64">
        <v>1189250133.7</v>
      </c>
      <c r="W64">
        <v>1406647193.4000001</v>
      </c>
      <c r="X64">
        <v>1682577859.2</v>
      </c>
      <c r="Y64">
        <v>2081568255.2</v>
      </c>
      <c r="Z64">
        <v>2372036370.9000001</v>
      </c>
      <c r="AA64">
        <v>2598219687.8000002</v>
      </c>
      <c r="AB64">
        <v>3002656798.6999998</v>
      </c>
      <c r="AC64">
        <v>3184573375.5</v>
      </c>
      <c r="AD64">
        <v>3573469225.5999999</v>
      </c>
      <c r="AE64">
        <v>3762208698.8000002</v>
      </c>
      <c r="AF64">
        <v>4012437196.6999998</v>
      </c>
      <c r="AG64">
        <v>4072680854.6999998</v>
      </c>
      <c r="AH64">
        <v>4159662668.5999999</v>
      </c>
      <c r="AI64">
        <v>4484666420.3999996</v>
      </c>
      <c r="AJ64">
        <v>4599353573</v>
      </c>
      <c r="AK64">
        <v>4716244896.3999996</v>
      </c>
      <c r="AL64">
        <v>4957324456.8000002</v>
      </c>
      <c r="AM64">
        <v>4366328681.8999996</v>
      </c>
      <c r="AN64">
        <v>4532953461.8999996</v>
      </c>
      <c r="AO64">
        <v>4414764302</v>
      </c>
      <c r="AP64">
        <v>4309979738.6999998</v>
      </c>
      <c r="AQ64">
        <v>4473713207.6000004</v>
      </c>
      <c r="AR64">
        <v>4794696438.8999996</v>
      </c>
      <c r="AS64">
        <v>4617977128</v>
      </c>
      <c r="AT64">
        <v>5212380882.1999998</v>
      </c>
      <c r="AU64">
        <v>6574924040.6000004</v>
      </c>
      <c r="AV64">
        <v>7276848800</v>
      </c>
      <c r="AW64">
        <v>7818993970.6000004</v>
      </c>
      <c r="AX64">
        <v>7751825568.3000002</v>
      </c>
      <c r="AY64">
        <v>9219827515.2000008</v>
      </c>
      <c r="AZ64">
        <v>10747913578.6</v>
      </c>
      <c r="BA64">
        <v>10609348066.299999</v>
      </c>
      <c r="BB64">
        <v>11853860787.9</v>
      </c>
      <c r="BC64">
        <v>13498619112.4</v>
      </c>
      <c r="BD64">
        <v>15097329632.200001</v>
      </c>
      <c r="BE64">
        <v>22101544978.200001</v>
      </c>
      <c r="BF64">
        <v>23957826085.200001</v>
      </c>
      <c r="BG64">
        <v>26269413480.299999</v>
      </c>
      <c r="BH64">
        <v>26727445939.700001</v>
      </c>
      <c r="BI64">
        <v>28291425524.5</v>
      </c>
      <c r="BJ64">
        <v>29455812951.599998</v>
      </c>
      <c r="BK64">
        <v>31864082651.900002</v>
      </c>
      <c r="BL64">
        <v>35095621459.099998</v>
      </c>
      <c r="BM64">
        <v>40559732187</v>
      </c>
      <c r="BN64">
        <v>43884654717.699997</v>
      </c>
      <c r="BO64">
        <v>48289508484.199997</v>
      </c>
      <c r="BP64">
        <v>52188404942.599998</v>
      </c>
      <c r="BQ64">
        <v>53293949023.300003</v>
      </c>
    </row>
    <row r="65" spans="1:69" x14ac:dyDescent="0.35">
      <c r="A65" t="s">
        <v>563</v>
      </c>
      <c r="B65" t="s">
        <v>22</v>
      </c>
      <c r="C65" t="s">
        <v>362</v>
      </c>
      <c r="D65" t="s">
        <v>493</v>
      </c>
      <c r="O65">
        <v>939559305.39999998</v>
      </c>
      <c r="P65">
        <v>1260807888.7</v>
      </c>
      <c r="Q65">
        <v>1549785827.5</v>
      </c>
      <c r="R65">
        <v>2991368810.9000001</v>
      </c>
      <c r="S65">
        <v>3365980296.4000001</v>
      </c>
      <c r="T65">
        <v>4632815496.6999998</v>
      </c>
      <c r="U65">
        <v>6114379902.6000004</v>
      </c>
      <c r="V65">
        <v>10598959726.9</v>
      </c>
      <c r="W65">
        <v>15733600491</v>
      </c>
      <c r="X65">
        <v>18505548616.700001</v>
      </c>
      <c r="Y65">
        <v>19363299072.799999</v>
      </c>
      <c r="Z65">
        <v>18370318142.200001</v>
      </c>
      <c r="AA65">
        <v>17639470178.599998</v>
      </c>
      <c r="AB65">
        <v>16367488197.1</v>
      </c>
      <c r="AC65">
        <v>15890285871.5</v>
      </c>
      <c r="AD65">
        <v>18260741782.400002</v>
      </c>
      <c r="AE65">
        <v>22649736536.700001</v>
      </c>
      <c r="AF65">
        <v>24448828591.299999</v>
      </c>
      <c r="AG65">
        <v>26101327226.200001</v>
      </c>
      <c r="AH65">
        <v>27248503765.900002</v>
      </c>
      <c r="AI65">
        <v>28153911739.299999</v>
      </c>
      <c r="AJ65">
        <v>28489965549.099998</v>
      </c>
      <c r="AK65">
        <v>27351247767.299999</v>
      </c>
      <c r="AL65">
        <v>26274665108.099998</v>
      </c>
      <c r="AM65">
        <v>30239373924.700001</v>
      </c>
      <c r="AN65">
        <v>33048876968.700001</v>
      </c>
      <c r="AO65">
        <v>33651326322.400002</v>
      </c>
      <c r="AP65">
        <v>30896804008.700001</v>
      </c>
      <c r="AQ65">
        <v>30686949509</v>
      </c>
      <c r="AR65">
        <v>28203525381.299999</v>
      </c>
      <c r="AS65">
        <v>25461612754.099998</v>
      </c>
      <c r="AT65">
        <v>22747999963</v>
      </c>
      <c r="AU65">
        <v>23038055336.5</v>
      </c>
      <c r="AV65">
        <v>23769764316.799999</v>
      </c>
      <c r="AW65">
        <v>22415803094.900002</v>
      </c>
      <c r="AX65">
        <v>17082050354.299999</v>
      </c>
      <c r="AY65">
        <v>5899332942</v>
      </c>
      <c r="AZ65">
        <v>6130437725.6000004</v>
      </c>
      <c r="BA65">
        <v>6240595213.8000002</v>
      </c>
      <c r="BB65">
        <v>7414345918.6000004</v>
      </c>
      <c r="BC65">
        <v>7253019348.3000002</v>
      </c>
      <c r="BD65">
        <v>6054554674.6999998</v>
      </c>
      <c r="BE65">
        <v>5516939176.1999998</v>
      </c>
      <c r="BF65">
        <v>5247039317.8000002</v>
      </c>
      <c r="BG65">
        <v>5521236298.5</v>
      </c>
      <c r="BH65">
        <v>4671438792</v>
      </c>
      <c r="BI65">
        <v>5463041852.5</v>
      </c>
      <c r="BJ65">
        <v>5706819221.3999996</v>
      </c>
      <c r="BK65">
        <v>5710492428.3000002</v>
      </c>
      <c r="BL65">
        <v>5492379098.5</v>
      </c>
      <c r="BM65">
        <v>5177879567.1999998</v>
      </c>
      <c r="BN65">
        <v>7378780279.1000004</v>
      </c>
      <c r="BO65">
        <v>7129258689.1999998</v>
      </c>
      <c r="BP65">
        <v>7315267064.8999996</v>
      </c>
      <c r="BQ65">
        <v>6898271361</v>
      </c>
    </row>
    <row r="66" spans="1:69" x14ac:dyDescent="0.35">
      <c r="A66" t="s">
        <v>171</v>
      </c>
      <c r="B66" t="s">
        <v>192</v>
      </c>
      <c r="C66" t="s">
        <v>362</v>
      </c>
      <c r="D66" t="s">
        <v>493</v>
      </c>
      <c r="O66">
        <v>7026035434.8999996</v>
      </c>
      <c r="P66">
        <v>8817214911.6000004</v>
      </c>
      <c r="Q66">
        <v>10479313752.699999</v>
      </c>
      <c r="R66">
        <v>12297993547.6</v>
      </c>
      <c r="S66">
        <v>15147878788.800001</v>
      </c>
      <c r="T66">
        <v>18711976028.900002</v>
      </c>
      <c r="U66">
        <v>23655441434.400005</v>
      </c>
      <c r="V66">
        <v>29784502219.099998</v>
      </c>
      <c r="W66">
        <v>36653345878.200005</v>
      </c>
      <c r="X66">
        <v>43437510935.700012</v>
      </c>
      <c r="Y66">
        <v>54399399056.499992</v>
      </c>
      <c r="Z66">
        <v>64317454886</v>
      </c>
      <c r="AA66">
        <v>75081115444.899979</v>
      </c>
      <c r="AB66">
        <v>83408920386.200012</v>
      </c>
      <c r="AC66">
        <v>89212992782.300003</v>
      </c>
      <c r="AD66">
        <v>104154212254.5</v>
      </c>
      <c r="AE66">
        <v>120928242092.60002</v>
      </c>
      <c r="AF66">
        <v>147259435582.79999</v>
      </c>
      <c r="AG66">
        <v>157076696849.19998</v>
      </c>
      <c r="AH66">
        <v>186563459679.19998</v>
      </c>
      <c r="AI66">
        <v>217768034182.10001</v>
      </c>
      <c r="AJ66">
        <v>246072462371.99997</v>
      </c>
      <c r="AK66">
        <v>273820967535.70001</v>
      </c>
      <c r="AL66">
        <v>302092104026.09991</v>
      </c>
      <c r="AM66">
        <v>353288921577.30011</v>
      </c>
      <c r="AN66">
        <v>421587138918.90002</v>
      </c>
      <c r="AO66">
        <v>454842432154.79987</v>
      </c>
      <c r="AP66">
        <v>479396338313.49982</v>
      </c>
      <c r="AQ66">
        <v>491354526872.3999</v>
      </c>
      <c r="AR66">
        <v>494756268614.70001</v>
      </c>
      <c r="AS66">
        <v>456151253751.70013</v>
      </c>
      <c r="AT66">
        <v>469818242974.80005</v>
      </c>
      <c r="AU66">
        <v>466167206840.90002</v>
      </c>
      <c r="AV66">
        <v>495165490014.09991</v>
      </c>
      <c r="AW66">
        <v>540187661542.10004</v>
      </c>
      <c r="AX66">
        <v>581087573128.80005</v>
      </c>
      <c r="AY66">
        <v>619776550848.2998</v>
      </c>
      <c r="AZ66">
        <v>690404924365.40015</v>
      </c>
      <c r="BA66">
        <v>717789254446.19983</v>
      </c>
      <c r="BB66">
        <v>829071245139.90015</v>
      </c>
      <c r="BC66">
        <v>1192805702367.2</v>
      </c>
      <c r="BD66">
        <v>1558305838622.7996</v>
      </c>
      <c r="BE66">
        <v>1740447258446.8</v>
      </c>
      <c r="BF66">
        <v>2110665235722.2998</v>
      </c>
      <c r="BG66">
        <v>2444799482482.1006</v>
      </c>
      <c r="BH66">
        <v>2004505340145.1001</v>
      </c>
      <c r="BI66">
        <v>2111817644482.8</v>
      </c>
      <c r="BJ66">
        <v>2489001637378.6997</v>
      </c>
      <c r="BK66">
        <v>2798070300222.3008</v>
      </c>
      <c r="BL66">
        <v>2993027551148.3994</v>
      </c>
      <c r="BM66">
        <v>3263947543615.3999</v>
      </c>
      <c r="BN66">
        <v>3696990659127.6992</v>
      </c>
      <c r="BO66">
        <v>3496645782607.1011</v>
      </c>
      <c r="BP66">
        <v>3416715484747.3999</v>
      </c>
      <c r="BQ66">
        <v>3409356888335.9995</v>
      </c>
    </row>
    <row r="67" spans="1:69" x14ac:dyDescent="0.35">
      <c r="A67" t="s">
        <v>566</v>
      </c>
      <c r="B67" t="s">
        <v>292</v>
      </c>
      <c r="C67" t="s">
        <v>362</v>
      </c>
      <c r="D67" t="s">
        <v>493</v>
      </c>
    </row>
    <row r="68" spans="1:69" x14ac:dyDescent="0.35">
      <c r="A68" t="s">
        <v>393</v>
      </c>
      <c r="B68" t="s">
        <v>478</v>
      </c>
      <c r="C68" t="s">
        <v>362</v>
      </c>
      <c r="D68" t="s">
        <v>493</v>
      </c>
    </row>
    <row r="69" spans="1:69" x14ac:dyDescent="0.35">
      <c r="A69" t="s">
        <v>222</v>
      </c>
      <c r="B69" t="s">
        <v>263</v>
      </c>
      <c r="C69" t="s">
        <v>362</v>
      </c>
      <c r="D69" t="s">
        <v>493</v>
      </c>
      <c r="O69">
        <v>5075880995.7999992</v>
      </c>
      <c r="P69">
        <v>6402531669.7000008</v>
      </c>
      <c r="Q69">
        <v>7487194493.3999996</v>
      </c>
      <c r="R69">
        <v>9002238743.7000008</v>
      </c>
      <c r="S69">
        <v>10273530956.200001</v>
      </c>
      <c r="T69">
        <v>11685564423.5</v>
      </c>
      <c r="U69">
        <v>14318940784.5</v>
      </c>
      <c r="V69">
        <v>21588452098.599998</v>
      </c>
      <c r="W69">
        <v>27396292669.900002</v>
      </c>
      <c r="X69">
        <v>31909776491.800003</v>
      </c>
      <c r="Y69">
        <v>37625763685.5</v>
      </c>
      <c r="Z69">
        <v>39888316606.699997</v>
      </c>
      <c r="AA69">
        <v>39621714743.599998</v>
      </c>
      <c r="AB69">
        <v>40805944515.399994</v>
      </c>
      <c r="AC69">
        <v>41255709573.400002</v>
      </c>
      <c r="AD69">
        <v>48266651270.199997</v>
      </c>
      <c r="AE69">
        <v>54436606754.5</v>
      </c>
      <c r="AF69">
        <v>63415517066.600006</v>
      </c>
      <c r="AG69">
        <v>62170653168.299995</v>
      </c>
      <c r="AH69">
        <v>60726290584.399994</v>
      </c>
      <c r="AI69">
        <v>67567434907.5</v>
      </c>
      <c r="AJ69">
        <v>67869835554.199997</v>
      </c>
      <c r="AK69">
        <v>74724062678.600006</v>
      </c>
      <c r="AL69">
        <v>93094102080.900009</v>
      </c>
      <c r="AM69">
        <v>94492604765.199997</v>
      </c>
      <c r="AN69">
        <v>106731712909.39999</v>
      </c>
      <c r="AO69">
        <v>115651748983.60001</v>
      </c>
      <c r="AP69">
        <v>126832367172.3</v>
      </c>
      <c r="AQ69">
        <v>146540428414.69998</v>
      </c>
      <c r="AR69">
        <v>159183103851.20001</v>
      </c>
      <c r="AS69">
        <v>180224570450.59998</v>
      </c>
      <c r="AT69">
        <v>188267197081.00003</v>
      </c>
      <c r="AU69">
        <v>212814861938.29999</v>
      </c>
      <c r="AV69">
        <v>242801864716.80002</v>
      </c>
      <c r="AW69">
        <v>280013632371.69995</v>
      </c>
      <c r="AX69">
        <v>309140387133.39996</v>
      </c>
      <c r="AY69">
        <v>407485991165.69995</v>
      </c>
      <c r="AZ69">
        <v>528227217656.09998</v>
      </c>
      <c r="BA69">
        <v>601901664671.8999</v>
      </c>
      <c r="BB69">
        <v>621703099512.79993</v>
      </c>
      <c r="BC69">
        <v>697215240366.90002</v>
      </c>
      <c r="BD69">
        <v>734440986237.09985</v>
      </c>
      <c r="BE69">
        <v>789236292799.59998</v>
      </c>
      <c r="BF69">
        <v>884006273070.09998</v>
      </c>
      <c r="BG69">
        <v>883621860389.09985</v>
      </c>
      <c r="BH69">
        <v>854053830272.99988</v>
      </c>
      <c r="BI69">
        <v>866662320879.49976</v>
      </c>
      <c r="BJ69">
        <v>933863280332.8999</v>
      </c>
      <c r="BK69">
        <v>913246242178</v>
      </c>
      <c r="BL69">
        <v>926687582546.90015</v>
      </c>
      <c r="BM69">
        <v>980518943831.59998</v>
      </c>
      <c r="BN69">
        <v>1003676762514.6</v>
      </c>
      <c r="BO69">
        <v>1040767892639</v>
      </c>
      <c r="BP69">
        <v>1135788048367.4001</v>
      </c>
      <c r="BQ69">
        <v>1169286746391.8</v>
      </c>
    </row>
    <row r="70" spans="1:69" x14ac:dyDescent="0.35">
      <c r="A70" t="s">
        <v>321</v>
      </c>
      <c r="B70" t="s">
        <v>477</v>
      </c>
      <c r="C70" t="s">
        <v>362</v>
      </c>
      <c r="D70" t="s">
        <v>493</v>
      </c>
    </row>
    <row r="71" spans="1:69" x14ac:dyDescent="0.35">
      <c r="A71" t="s">
        <v>199</v>
      </c>
      <c r="B71" t="s">
        <v>89</v>
      </c>
      <c r="C71" t="s">
        <v>362</v>
      </c>
      <c r="D71" t="s">
        <v>493</v>
      </c>
      <c r="O71">
        <v>402122588.10000002</v>
      </c>
      <c r="P71">
        <v>432364315.10000002</v>
      </c>
      <c r="Q71">
        <v>535905146.80000001</v>
      </c>
      <c r="R71">
        <v>573939123.70000005</v>
      </c>
      <c r="S71">
        <v>708698193.89999998</v>
      </c>
      <c r="T71">
        <v>993879992.29999995</v>
      </c>
      <c r="U71">
        <v>1214102930.2</v>
      </c>
      <c r="V71">
        <v>2485664571.4000001</v>
      </c>
      <c r="W71">
        <v>4088901233.8000002</v>
      </c>
      <c r="X71">
        <v>4637392148.3000002</v>
      </c>
      <c r="Y71">
        <v>6108962611.1999998</v>
      </c>
      <c r="Z71">
        <v>7772614471</v>
      </c>
      <c r="AA71">
        <v>7807592417</v>
      </c>
      <c r="AB71">
        <v>7692947367.6999998</v>
      </c>
      <c r="AC71">
        <v>8400083081.3000002</v>
      </c>
      <c r="AD71">
        <v>8792328903.2999992</v>
      </c>
      <c r="AE71">
        <v>9418379203.6000004</v>
      </c>
      <c r="AF71">
        <v>10553659498.1</v>
      </c>
      <c r="AG71">
        <v>10808917407.5</v>
      </c>
      <c r="AH71">
        <v>11376206174.6</v>
      </c>
      <c r="AI71">
        <v>12162620647.200001</v>
      </c>
      <c r="AJ71">
        <v>12521018295</v>
      </c>
      <c r="AK71">
        <v>12262513163.200001</v>
      </c>
      <c r="AL71">
        <v>14119794865.700001</v>
      </c>
      <c r="AM71">
        <v>18105551174.099998</v>
      </c>
      <c r="AN71">
        <v>17002047905.1</v>
      </c>
      <c r="AO71">
        <v>17456887682.200001</v>
      </c>
      <c r="AP71">
        <v>18363272531.599998</v>
      </c>
      <c r="AQ71">
        <v>18521805480</v>
      </c>
      <c r="AR71">
        <v>19110081292.099998</v>
      </c>
      <c r="AS71">
        <v>17182982890.599998</v>
      </c>
      <c r="AT71">
        <v>17813559063.299999</v>
      </c>
      <c r="AU71">
        <v>19585719133.299999</v>
      </c>
      <c r="AV71">
        <v>19976582978</v>
      </c>
      <c r="AW71">
        <v>20632713680.599998</v>
      </c>
      <c r="AX71">
        <v>20431754371.700001</v>
      </c>
      <c r="AY71">
        <v>20394197070.299999</v>
      </c>
      <c r="AZ71">
        <v>21117567758.900002</v>
      </c>
      <c r="BA71">
        <v>19033218167.900002</v>
      </c>
      <c r="BB71">
        <v>13376883645.9</v>
      </c>
      <c r="BC71">
        <v>15389312133.4</v>
      </c>
      <c r="BD71">
        <v>16180581867.5</v>
      </c>
      <c r="BE71">
        <v>16260757649.6</v>
      </c>
      <c r="BF71">
        <v>19094570319.900002</v>
      </c>
      <c r="BG71">
        <v>24984256767.900002</v>
      </c>
      <c r="BH71">
        <v>28405810428</v>
      </c>
      <c r="BI71">
        <v>35395057632.199997</v>
      </c>
      <c r="BJ71">
        <v>41170619133.099998</v>
      </c>
      <c r="BK71">
        <v>44972778938.699997</v>
      </c>
      <c r="BL71">
        <v>51908820292.199997</v>
      </c>
      <c r="BM71">
        <v>56397276775.800003</v>
      </c>
      <c r="BN71">
        <v>58115985989.699997</v>
      </c>
      <c r="BO71">
        <v>60682883622.400002</v>
      </c>
      <c r="BP71">
        <v>61658016751.5</v>
      </c>
      <c r="BQ71">
        <v>60364730466.400002</v>
      </c>
    </row>
    <row r="72" spans="1:69" x14ac:dyDescent="0.35">
      <c r="A72" t="s">
        <v>209</v>
      </c>
      <c r="B72" t="s">
        <v>549</v>
      </c>
      <c r="C72" t="s">
        <v>362</v>
      </c>
      <c r="D72" t="s">
        <v>493</v>
      </c>
      <c r="O72">
        <v>1801624657.4000001</v>
      </c>
      <c r="P72">
        <v>2049117407.7</v>
      </c>
      <c r="Q72">
        <v>1952436870.5</v>
      </c>
      <c r="R72">
        <v>1991608099.4000001</v>
      </c>
      <c r="S72">
        <v>2209478866.4000001</v>
      </c>
      <c r="T72">
        <v>4835420182</v>
      </c>
      <c r="U72">
        <v>6357338118.1000004</v>
      </c>
      <c r="V72">
        <v>11733540781.4</v>
      </c>
      <c r="W72">
        <v>12857846527.799999</v>
      </c>
      <c r="X72">
        <v>14905845250.799999</v>
      </c>
      <c r="Y72">
        <v>19130724407.900002</v>
      </c>
      <c r="Z72">
        <v>22077857201.700001</v>
      </c>
      <c r="AA72">
        <v>27323635750.799999</v>
      </c>
      <c r="AB72">
        <v>30213012849.900002</v>
      </c>
      <c r="AC72">
        <v>32187450012.099998</v>
      </c>
      <c r="AD72">
        <v>36124676237.800003</v>
      </c>
      <c r="AE72">
        <v>39891292452.400002</v>
      </c>
      <c r="AF72">
        <v>44151539093.099998</v>
      </c>
      <c r="AG72">
        <v>46148551466.900002</v>
      </c>
      <c r="AH72">
        <v>45676111287.400002</v>
      </c>
      <c r="AI72">
        <v>33015720171.299999</v>
      </c>
      <c r="AJ72">
        <v>32604272498.299999</v>
      </c>
      <c r="AK72">
        <v>31168986021.5</v>
      </c>
      <c r="AL72">
        <v>30651243858.900002</v>
      </c>
      <c r="AM72">
        <v>32499139580</v>
      </c>
      <c r="AN72">
        <v>33475216024.700001</v>
      </c>
      <c r="AO72">
        <v>31512670142.200001</v>
      </c>
      <c r="AP72">
        <v>29952913694.799999</v>
      </c>
      <c r="AQ72">
        <v>32347186890.400002</v>
      </c>
      <c r="AR72">
        <v>31121616151.400002</v>
      </c>
      <c r="AS72">
        <v>29232716500.900002</v>
      </c>
      <c r="AT72">
        <v>28331673242.299999</v>
      </c>
      <c r="AU72">
        <v>29671747582</v>
      </c>
      <c r="AV72">
        <v>30467606765.200001</v>
      </c>
      <c r="AW72">
        <v>31403286339</v>
      </c>
      <c r="AX72">
        <v>30575696632.400002</v>
      </c>
      <c r="AY72">
        <v>31028391832.599998</v>
      </c>
      <c r="AZ72">
        <v>34604548133.800003</v>
      </c>
      <c r="BA72">
        <v>33925338196.5</v>
      </c>
      <c r="BB72">
        <v>35417097883.900002</v>
      </c>
      <c r="BC72">
        <v>36803931990.099998</v>
      </c>
      <c r="BD72">
        <v>35208762810.599998</v>
      </c>
      <c r="BE72">
        <v>40061753451.800003</v>
      </c>
      <c r="BF72">
        <v>46534987114.900002</v>
      </c>
      <c r="BG72">
        <v>41772774970.900002</v>
      </c>
      <c r="BH72">
        <v>49873938935.599998</v>
      </c>
      <c r="BI72">
        <v>69188517055.199997</v>
      </c>
      <c r="BJ72">
        <v>84587108845.300003</v>
      </c>
      <c r="BK72">
        <v>99457163486.300003</v>
      </c>
      <c r="BL72">
        <v>114910260649.89999</v>
      </c>
      <c r="BM72">
        <v>132538717154</v>
      </c>
      <c r="BN72">
        <v>145998330659.89999</v>
      </c>
      <c r="BO72">
        <v>163111452414.10001</v>
      </c>
      <c r="BP72">
        <v>168182236339.60001</v>
      </c>
      <c r="BQ72">
        <v>155972716013.20001</v>
      </c>
    </row>
    <row r="73" spans="1:69" x14ac:dyDescent="0.35">
      <c r="A73" t="s">
        <v>116</v>
      </c>
      <c r="B73" t="s">
        <v>328</v>
      </c>
      <c r="C73" t="s">
        <v>362</v>
      </c>
      <c r="D73" t="s">
        <v>493</v>
      </c>
    </row>
    <row r="74" spans="1:69" x14ac:dyDescent="0.35">
      <c r="A74" t="s">
        <v>592</v>
      </c>
      <c r="B74" t="s">
        <v>139</v>
      </c>
      <c r="C74" t="s">
        <v>362</v>
      </c>
      <c r="D74" t="s">
        <v>493</v>
      </c>
      <c r="AM74">
        <v>29056800.100000001</v>
      </c>
      <c r="AN74">
        <v>36689461.600000001</v>
      </c>
      <c r="AO74">
        <v>44286454.5</v>
      </c>
      <c r="AP74">
        <v>75455613.799999997</v>
      </c>
      <c r="AQ74">
        <v>146136192</v>
      </c>
      <c r="AR74">
        <v>273362649.10000002</v>
      </c>
      <c r="AS74">
        <v>329696750.60000002</v>
      </c>
      <c r="AT74">
        <v>432797640.10000002</v>
      </c>
      <c r="AU74">
        <v>540750572.10000002</v>
      </c>
      <c r="AV74">
        <v>656094138.20000005</v>
      </c>
      <c r="AW74">
        <v>760244436.60000002</v>
      </c>
      <c r="AX74">
        <v>757208868.79999995</v>
      </c>
      <c r="AY74">
        <v>822735305.20000005</v>
      </c>
      <c r="AZ74">
        <v>896724741.39999998</v>
      </c>
      <c r="BA74">
        <v>997784245.20000005</v>
      </c>
      <c r="BB74">
        <v>1050653956.3</v>
      </c>
      <c r="BC74">
        <v>1037322233.9</v>
      </c>
      <c r="BD74">
        <v>1051012567.3</v>
      </c>
      <c r="BE74">
        <v>990963322.39999998</v>
      </c>
      <c r="BF74">
        <v>942827437</v>
      </c>
      <c r="BG74">
        <v>907610925.5</v>
      </c>
      <c r="BH74">
        <v>875473801.29999995</v>
      </c>
      <c r="BI74">
        <v>800798598.70000005</v>
      </c>
      <c r="BJ74">
        <v>825670657.89999998</v>
      </c>
      <c r="BK74">
        <v>797462901.60000002</v>
      </c>
      <c r="BL74">
        <v>779332773.60000002</v>
      </c>
      <c r="BM74">
        <v>798652429.29999995</v>
      </c>
      <c r="BN74">
        <v>772098727.5</v>
      </c>
      <c r="BO74">
        <v>727107699.5</v>
      </c>
      <c r="BP74">
        <v>725945139.10000002</v>
      </c>
      <c r="BQ74">
        <v>693278616.89999998</v>
      </c>
    </row>
    <row r="75" spans="1:69" x14ac:dyDescent="0.35">
      <c r="A75" t="s">
        <v>65</v>
      </c>
      <c r="B75" t="s">
        <v>202</v>
      </c>
      <c r="C75" t="s">
        <v>362</v>
      </c>
      <c r="D75" t="s">
        <v>493</v>
      </c>
    </row>
    <row r="76" spans="1:69" x14ac:dyDescent="0.35">
      <c r="A76" t="s">
        <v>416</v>
      </c>
      <c r="B76" t="s">
        <v>536</v>
      </c>
      <c r="C76" t="s">
        <v>362</v>
      </c>
      <c r="D76" t="s">
        <v>493</v>
      </c>
    </row>
    <row r="77" spans="1:69" x14ac:dyDescent="0.35">
      <c r="A77" t="s">
        <v>128</v>
      </c>
      <c r="B77" t="s">
        <v>82</v>
      </c>
      <c r="C77" t="s">
        <v>362</v>
      </c>
      <c r="D77" t="s">
        <v>493</v>
      </c>
      <c r="O77">
        <v>169291507.90000001</v>
      </c>
      <c r="P77">
        <v>204419405.69999999</v>
      </c>
      <c r="Q77">
        <v>226992441.5</v>
      </c>
      <c r="R77">
        <v>256405145.80000001</v>
      </c>
      <c r="S77">
        <v>283128081.89999998</v>
      </c>
      <c r="T77">
        <v>343674712.5</v>
      </c>
      <c r="U77">
        <v>402645522.89999998</v>
      </c>
      <c r="V77">
        <v>500727416.80000001</v>
      </c>
      <c r="W77">
        <v>567285829.39999998</v>
      </c>
      <c r="X77">
        <v>740065951.60000002</v>
      </c>
      <c r="Y77">
        <v>823661624.79999995</v>
      </c>
      <c r="Z77">
        <v>1841818082.0999999</v>
      </c>
      <c r="AA77">
        <v>3279545191.1999998</v>
      </c>
      <c r="AB77">
        <v>3845189805.4000001</v>
      </c>
      <c r="AC77">
        <v>4222435578.9000001</v>
      </c>
      <c r="AD77">
        <v>5212468612.5</v>
      </c>
      <c r="AE77">
        <v>6144432381</v>
      </c>
      <c r="AF77">
        <v>7377385232</v>
      </c>
      <c r="AG77">
        <v>7717008720.8000002</v>
      </c>
      <c r="AH77">
        <v>7855586230.1000004</v>
      </c>
      <c r="AI77">
        <v>8645231101.2000008</v>
      </c>
      <c r="AJ77">
        <v>9133608406.3999996</v>
      </c>
      <c r="AK77">
        <v>9355564836.3999996</v>
      </c>
      <c r="AL77">
        <v>9717488583.7000008</v>
      </c>
      <c r="AM77">
        <v>10079654017.6</v>
      </c>
      <c r="AN77">
        <v>10324075338</v>
      </c>
      <c r="AO77">
        <v>10091749359.6</v>
      </c>
      <c r="AP77">
        <v>10090618084.6</v>
      </c>
      <c r="AQ77">
        <v>10360532218</v>
      </c>
      <c r="AR77">
        <v>5572314681.3999996</v>
      </c>
      <c r="AS77">
        <v>5516263792.3000002</v>
      </c>
      <c r="AT77">
        <v>5745843979</v>
      </c>
      <c r="AU77">
        <v>6552441032.8000002</v>
      </c>
      <c r="AV77">
        <v>7281813432.3999996</v>
      </c>
      <c r="AW77">
        <v>6568177206.6999998</v>
      </c>
      <c r="AX77">
        <v>6175805430.3999996</v>
      </c>
      <c r="AY77">
        <v>2220991208.5999999</v>
      </c>
      <c r="AZ77">
        <v>2592599173.4000001</v>
      </c>
      <c r="BA77">
        <v>2847636291.1999998</v>
      </c>
      <c r="BB77">
        <v>5361419433.8999996</v>
      </c>
      <c r="BC77">
        <v>7287411658.5</v>
      </c>
      <c r="BD77">
        <v>8607523904.7000008</v>
      </c>
      <c r="BE77">
        <v>10465118049.700001</v>
      </c>
      <c r="BF77">
        <v>12585463066</v>
      </c>
      <c r="BG77">
        <v>16946037499.200001</v>
      </c>
      <c r="BH77">
        <v>20443875424.099998</v>
      </c>
      <c r="BI77">
        <v>23396722284.099998</v>
      </c>
      <c r="BJ77">
        <v>26170602394.700001</v>
      </c>
      <c r="BK77">
        <v>29842524863.700001</v>
      </c>
      <c r="BL77">
        <v>30377335498.200001</v>
      </c>
      <c r="BM77">
        <v>32364057104.099998</v>
      </c>
      <c r="BN77">
        <v>32000197807.200001</v>
      </c>
      <c r="BO77">
        <v>30620768251.900002</v>
      </c>
      <c r="BP77">
        <v>33273672181.5</v>
      </c>
      <c r="BQ77">
        <v>36548259483.300003</v>
      </c>
    </row>
    <row r="78" spans="1:69" x14ac:dyDescent="0.35">
      <c r="A78" t="s">
        <v>30</v>
      </c>
      <c r="B78" t="s">
        <v>575</v>
      </c>
      <c r="C78" t="s">
        <v>362</v>
      </c>
      <c r="D78" t="s">
        <v>493</v>
      </c>
    </row>
    <row r="79" spans="1:69" x14ac:dyDescent="0.35">
      <c r="A79" t="s">
        <v>177</v>
      </c>
      <c r="B79" t="s">
        <v>288</v>
      </c>
      <c r="C79" t="s">
        <v>362</v>
      </c>
      <c r="D79" t="s">
        <v>493</v>
      </c>
    </row>
    <row r="80" spans="1:69" x14ac:dyDescent="0.35">
      <c r="A80" t="s">
        <v>41</v>
      </c>
      <c r="B80" t="s">
        <v>20</v>
      </c>
      <c r="C80" t="s">
        <v>362</v>
      </c>
      <c r="D80" t="s">
        <v>493</v>
      </c>
    </row>
    <row r="81" spans="1:69" x14ac:dyDescent="0.35">
      <c r="A81" t="s">
        <v>121</v>
      </c>
      <c r="B81" t="s">
        <v>313</v>
      </c>
      <c r="C81" t="s">
        <v>362</v>
      </c>
      <c r="D81" t="s">
        <v>493</v>
      </c>
      <c r="O81">
        <v>11665440</v>
      </c>
      <c r="P81">
        <v>14810208.6</v>
      </c>
      <c r="Q81">
        <v>20721484.600000001</v>
      </c>
      <c r="R81">
        <v>47197248</v>
      </c>
      <c r="S81">
        <v>54507121.5</v>
      </c>
      <c r="T81">
        <v>59299120.5</v>
      </c>
      <c r="U81">
        <v>63899866.299999997</v>
      </c>
      <c r="V81">
        <v>120597359.09999999</v>
      </c>
      <c r="W81">
        <v>103213454.59999999</v>
      </c>
      <c r="X81">
        <v>141674748.09999999</v>
      </c>
      <c r="Y81">
        <v>216321921.5</v>
      </c>
      <c r="Z81">
        <v>276430731.19999999</v>
      </c>
      <c r="AA81">
        <v>302393413.89999998</v>
      </c>
      <c r="AB81">
        <v>332406077.69999999</v>
      </c>
      <c r="AC81">
        <v>314560182.5</v>
      </c>
      <c r="AD81">
        <v>335680653.39999998</v>
      </c>
      <c r="AE81">
        <v>339619142.30000001</v>
      </c>
      <c r="AF81">
        <v>364679007.69999999</v>
      </c>
      <c r="AG81">
        <v>370909718.89999998</v>
      </c>
      <c r="AH81">
        <v>316399872</v>
      </c>
      <c r="AI81">
        <v>318026329.30000001</v>
      </c>
      <c r="AJ81">
        <v>282093980.39999998</v>
      </c>
      <c r="AK81">
        <v>257427622.5</v>
      </c>
      <c r="AL81">
        <v>246248945.30000001</v>
      </c>
      <c r="AM81">
        <v>196861157.80000001</v>
      </c>
      <c r="AN81">
        <v>183417026</v>
      </c>
      <c r="AO81">
        <v>165771501</v>
      </c>
      <c r="AP81">
        <v>158130798.80000001</v>
      </c>
      <c r="AQ81">
        <v>168365632.19999999</v>
      </c>
      <c r="AR81">
        <v>231848126.19999999</v>
      </c>
      <c r="AS81">
        <v>194527935.40000001</v>
      </c>
      <c r="AT81">
        <v>181389690.09999999</v>
      </c>
      <c r="AU81">
        <v>211378367.30000001</v>
      </c>
      <c r="AV81">
        <v>258131310.30000001</v>
      </c>
      <c r="AW81">
        <v>263742090.40000001</v>
      </c>
      <c r="AX81">
        <v>302666509.69999999</v>
      </c>
      <c r="AY81">
        <v>373224464.80000001</v>
      </c>
      <c r="AZ81">
        <v>397932776.19999999</v>
      </c>
      <c r="BA81">
        <v>689116436.70000005</v>
      </c>
      <c r="BB81">
        <v>1067927268.5</v>
      </c>
      <c r="BC81">
        <v>1107442022.4000001</v>
      </c>
      <c r="BD81">
        <v>1135273517.9000001</v>
      </c>
      <c r="BE81">
        <v>1283656604.2</v>
      </c>
      <c r="BF81">
        <v>1327112540.4000001</v>
      </c>
      <c r="BG81">
        <v>1433374045.4000001</v>
      </c>
      <c r="BH81">
        <v>1492464435</v>
      </c>
      <c r="BI81">
        <v>1401041843</v>
      </c>
      <c r="BJ81">
        <v>1662594373.7</v>
      </c>
      <c r="BK81">
        <v>1628412658.2</v>
      </c>
      <c r="BL81">
        <v>1831700627</v>
      </c>
      <c r="BM81">
        <v>2047345488.9000001</v>
      </c>
      <c r="BN81">
        <v>2498008201.1999998</v>
      </c>
      <c r="BO81">
        <v>2988044051.5</v>
      </c>
      <c r="BP81">
        <v>3347681715.8000002</v>
      </c>
      <c r="BQ81">
        <v>3868919895.3000002</v>
      </c>
    </row>
    <row r="82" spans="1:69" x14ac:dyDescent="0.35">
      <c r="A82" t="s">
        <v>305</v>
      </c>
      <c r="B82" t="s">
        <v>511</v>
      </c>
      <c r="C82" t="s">
        <v>362</v>
      </c>
      <c r="D82" t="s">
        <v>493</v>
      </c>
    </row>
    <row r="83" spans="1:69" x14ac:dyDescent="0.35">
      <c r="A83" t="s">
        <v>276</v>
      </c>
      <c r="B83" t="s">
        <v>380</v>
      </c>
      <c r="C83" t="s">
        <v>362</v>
      </c>
      <c r="D83" t="s">
        <v>493</v>
      </c>
    </row>
    <row r="84" spans="1:69" x14ac:dyDescent="0.35">
      <c r="A84" t="s">
        <v>311</v>
      </c>
      <c r="B84" t="s">
        <v>228</v>
      </c>
      <c r="C84" t="s">
        <v>362</v>
      </c>
      <c r="D84" t="s">
        <v>493</v>
      </c>
    </row>
    <row r="85" spans="1:69" x14ac:dyDescent="0.35">
      <c r="A85" t="s">
        <v>403</v>
      </c>
      <c r="B85" t="s">
        <v>298</v>
      </c>
      <c r="C85" t="s">
        <v>362</v>
      </c>
      <c r="D85" t="s">
        <v>493</v>
      </c>
      <c r="O85">
        <v>103822382.2</v>
      </c>
      <c r="P85">
        <v>145538293.90000001</v>
      </c>
      <c r="Q85">
        <v>229636306.80000001</v>
      </c>
      <c r="R85">
        <v>396230224.30000001</v>
      </c>
      <c r="S85">
        <v>528014042.89999998</v>
      </c>
      <c r="T85">
        <v>882643164.89999998</v>
      </c>
      <c r="U85">
        <v>1234281993</v>
      </c>
      <c r="V85">
        <v>1476400117.3</v>
      </c>
      <c r="W85">
        <v>1512811249.8</v>
      </c>
      <c r="X85">
        <v>1722573959.5</v>
      </c>
      <c r="Y85">
        <v>1514020947.9000001</v>
      </c>
      <c r="Z85">
        <v>1135600329.5</v>
      </c>
      <c r="AA85">
        <v>1000623472.4</v>
      </c>
      <c r="AB85">
        <v>914890557.39999998</v>
      </c>
      <c r="AC85">
        <v>919426012.79999995</v>
      </c>
      <c r="AD85">
        <v>1206162951.0999999</v>
      </c>
      <c r="AE85">
        <v>1943574170.3</v>
      </c>
      <c r="AF85">
        <v>2618902681.6999998</v>
      </c>
      <c r="AG85">
        <v>2844956364.8000002</v>
      </c>
      <c r="AH85">
        <v>3350495573.9000001</v>
      </c>
      <c r="AI85">
        <v>3982877605</v>
      </c>
      <c r="AJ85">
        <v>4222977719.5</v>
      </c>
      <c r="AK85">
        <v>3850442852.3000002</v>
      </c>
      <c r="AL85">
        <v>3862504189.6999998</v>
      </c>
      <c r="AM85">
        <v>4173198026.1999998</v>
      </c>
      <c r="AN85">
        <v>4362737008.3000002</v>
      </c>
      <c r="AO85">
        <v>4313553814.6999998</v>
      </c>
      <c r="AP85">
        <v>4282600648</v>
      </c>
      <c r="AQ85">
        <v>4430828795.6999998</v>
      </c>
      <c r="AR85">
        <v>4006728293.5999999</v>
      </c>
      <c r="AS85">
        <v>3930290528.8000002</v>
      </c>
      <c r="AT85">
        <v>3447234061.4000001</v>
      </c>
      <c r="AU85">
        <v>3517028368.8000002</v>
      </c>
      <c r="AV85">
        <v>3806803406.0999999</v>
      </c>
      <c r="AW85">
        <v>4111417357.1999998</v>
      </c>
      <c r="AX85">
        <v>3982408562</v>
      </c>
      <c r="AY85">
        <v>4367730175.1999998</v>
      </c>
      <c r="AZ85">
        <v>5131344448.1999998</v>
      </c>
      <c r="BA85">
        <v>2487040013.0999999</v>
      </c>
      <c r="BB85">
        <v>2711428130.6999998</v>
      </c>
      <c r="BC85">
        <v>2914864858.1999998</v>
      </c>
      <c r="BD85">
        <v>3182959184.1999998</v>
      </c>
      <c r="BE85">
        <v>3241048492.6999998</v>
      </c>
      <c r="BF85">
        <v>4822851463.6999998</v>
      </c>
      <c r="BG85">
        <v>4646619425.6000004</v>
      </c>
      <c r="BH85">
        <v>5131574603.3999996</v>
      </c>
      <c r="BI85">
        <v>5386777813.8999996</v>
      </c>
      <c r="BJ85">
        <v>6578650826.8999996</v>
      </c>
      <c r="BK85">
        <v>6896066351</v>
      </c>
      <c r="BL85">
        <v>7291337257.6999998</v>
      </c>
      <c r="BM85">
        <v>7729911668.1999998</v>
      </c>
      <c r="BN85">
        <v>7833664602.6999998</v>
      </c>
      <c r="BO85">
        <v>7990531656.8999996</v>
      </c>
      <c r="BP85">
        <v>7576008899</v>
      </c>
      <c r="BQ85">
        <v>6816627454.3000002</v>
      </c>
    </row>
    <row r="86" spans="1:69" x14ac:dyDescent="0.35">
      <c r="A86" t="s">
        <v>547</v>
      </c>
      <c r="B86" t="s">
        <v>479</v>
      </c>
      <c r="C86" t="s">
        <v>362</v>
      </c>
      <c r="D86" t="s">
        <v>493</v>
      </c>
    </row>
    <row r="87" spans="1:69" x14ac:dyDescent="0.35">
      <c r="A87" t="s">
        <v>508</v>
      </c>
      <c r="B87" t="s">
        <v>375</v>
      </c>
      <c r="C87" t="s">
        <v>362</v>
      </c>
      <c r="D87" t="s">
        <v>493</v>
      </c>
      <c r="AK87">
        <v>79312483</v>
      </c>
      <c r="AL87">
        <v>558986470.10000002</v>
      </c>
      <c r="AM87">
        <v>1450018420.0999999</v>
      </c>
      <c r="AN87">
        <v>1240357909</v>
      </c>
      <c r="AO87">
        <v>1361321590.8</v>
      </c>
      <c r="AP87">
        <v>1465764166.5999999</v>
      </c>
      <c r="AQ87">
        <v>1648137048.9000001</v>
      </c>
      <c r="AR87">
        <v>1851041690.9000001</v>
      </c>
      <c r="AS87">
        <v>1825515848.5999999</v>
      </c>
      <c r="AT87">
        <v>1909485070.3</v>
      </c>
      <c r="AU87">
        <v>2034422947.0999999</v>
      </c>
      <c r="AV87">
        <v>2148630818.1999998</v>
      </c>
      <c r="AW87">
        <v>2316620171.0999999</v>
      </c>
      <c r="AX87">
        <v>2156209501</v>
      </c>
      <c r="AY87">
        <v>2573385096.3000002</v>
      </c>
      <c r="AZ87">
        <v>2986949884.4000001</v>
      </c>
      <c r="BA87">
        <v>7721515061.8999996</v>
      </c>
      <c r="BB87">
        <v>8672797229.8999996</v>
      </c>
      <c r="BC87">
        <v>8790390910.3999996</v>
      </c>
      <c r="BD87">
        <v>11781288103.299999</v>
      </c>
      <c r="BE87">
        <v>13517007945</v>
      </c>
      <c r="BF87">
        <v>13611150110.6</v>
      </c>
      <c r="BG87">
        <v>14102343179.6</v>
      </c>
      <c r="BH87">
        <v>14360492981.4</v>
      </c>
      <c r="BI87">
        <v>15830998022.1</v>
      </c>
      <c r="BJ87">
        <v>16003229315.4</v>
      </c>
      <c r="BK87">
        <v>17111996250.1</v>
      </c>
      <c r="BL87">
        <v>18749078511.799999</v>
      </c>
      <c r="BM87">
        <v>20083506516.900002</v>
      </c>
      <c r="BN87">
        <v>21992748362.599998</v>
      </c>
      <c r="BO87">
        <v>23319530472.200001</v>
      </c>
      <c r="BP87">
        <v>24123230482</v>
      </c>
      <c r="BQ87">
        <v>25163122115.700001</v>
      </c>
    </row>
    <row r="88" spans="1:69" x14ac:dyDescent="0.35">
      <c r="A88" t="s">
        <v>137</v>
      </c>
      <c r="B88" t="s">
        <v>445</v>
      </c>
      <c r="C88" t="s">
        <v>362</v>
      </c>
      <c r="D88" t="s">
        <v>493</v>
      </c>
      <c r="O88">
        <v>572138164.60000002</v>
      </c>
      <c r="P88">
        <v>542386913.39999998</v>
      </c>
      <c r="Q88">
        <v>601807880.39999998</v>
      </c>
      <c r="R88">
        <v>756428483.10000002</v>
      </c>
      <c r="S88">
        <v>730055396.5</v>
      </c>
      <c r="T88">
        <v>720589134.39999998</v>
      </c>
      <c r="U88">
        <v>710690900.29999995</v>
      </c>
      <c r="V88">
        <v>1066624519.4</v>
      </c>
      <c r="W88">
        <v>1278646090.2</v>
      </c>
      <c r="X88">
        <v>1281964511.0999999</v>
      </c>
      <c r="Y88">
        <v>1398364945.5</v>
      </c>
      <c r="Z88">
        <v>1538834501.5</v>
      </c>
      <c r="AA88">
        <v>1484226949.7</v>
      </c>
      <c r="AB88">
        <v>1666180356</v>
      </c>
      <c r="AC88">
        <v>1963074302.9000001</v>
      </c>
      <c r="AD88">
        <v>2256468113.8000002</v>
      </c>
      <c r="AE88">
        <v>2766891477.4000001</v>
      </c>
      <c r="AF88">
        <v>3313222736.3000002</v>
      </c>
      <c r="AG88">
        <v>3131102815.5999999</v>
      </c>
      <c r="AH88">
        <v>3402456463.1999998</v>
      </c>
      <c r="AI88">
        <v>3880932790.8000002</v>
      </c>
      <c r="AJ88">
        <v>4380166480.6999998</v>
      </c>
      <c r="AK88">
        <v>4508061699</v>
      </c>
      <c r="AL88">
        <v>4886542112</v>
      </c>
      <c r="AM88">
        <v>5469152460.3999996</v>
      </c>
      <c r="AN88">
        <v>5935777124.3000002</v>
      </c>
      <c r="AO88">
        <v>6442990348.8000002</v>
      </c>
      <c r="AP88">
        <v>6347327632.8000002</v>
      </c>
      <c r="AQ88">
        <v>6969089358.3000002</v>
      </c>
      <c r="AR88">
        <v>7103705178.5</v>
      </c>
      <c r="AS88">
        <v>6743341663.1999998</v>
      </c>
      <c r="AT88">
        <v>6860995876.8999996</v>
      </c>
      <c r="AU88">
        <v>7640294825.3000002</v>
      </c>
      <c r="AV88">
        <v>8301000837.6999998</v>
      </c>
      <c r="AW88">
        <v>7243731089.5</v>
      </c>
      <c r="AX88">
        <v>8091993817.5</v>
      </c>
      <c r="AY88">
        <v>6059739098.3999996</v>
      </c>
      <c r="AZ88">
        <v>8311291215.1000004</v>
      </c>
      <c r="BA88">
        <v>10058853977.200001</v>
      </c>
      <c r="BB88">
        <v>12962573037</v>
      </c>
      <c r="BC88">
        <v>17984659771.299999</v>
      </c>
      <c r="BD88">
        <v>21317880741.900002</v>
      </c>
      <c r="BE88">
        <v>23151628039.400002</v>
      </c>
      <c r="BF88">
        <v>28508533533.299999</v>
      </c>
      <c r="BG88">
        <v>28517251145.900002</v>
      </c>
      <c r="BH88">
        <v>31306595150.799999</v>
      </c>
      <c r="BI88">
        <v>34860777089.699997</v>
      </c>
      <c r="BJ88">
        <v>33725981614.599998</v>
      </c>
      <c r="BK88">
        <v>35100516069.099998</v>
      </c>
      <c r="BL88">
        <v>32685329069.799999</v>
      </c>
      <c r="BM88">
        <v>40295305085.599998</v>
      </c>
      <c r="BN88">
        <v>46584318739.800003</v>
      </c>
      <c r="BO88">
        <v>43607006146.099998</v>
      </c>
      <c r="BP88">
        <v>41700706280.400002</v>
      </c>
      <c r="BQ88">
        <v>37414621429.699997</v>
      </c>
    </row>
    <row r="89" spans="1:69" x14ac:dyDescent="0.35">
      <c r="A89" t="s">
        <v>106</v>
      </c>
      <c r="B89" t="s">
        <v>557</v>
      </c>
      <c r="C89" t="s">
        <v>362</v>
      </c>
      <c r="D89" t="s">
        <v>493</v>
      </c>
    </row>
    <row r="90" spans="1:69" x14ac:dyDescent="0.35">
      <c r="A90" t="s">
        <v>468</v>
      </c>
      <c r="B90" t="s">
        <v>463</v>
      </c>
      <c r="C90" t="s">
        <v>362</v>
      </c>
      <c r="D90" t="s">
        <v>493</v>
      </c>
      <c r="O90">
        <v>336538268.5</v>
      </c>
      <c r="P90">
        <v>450888914.10000002</v>
      </c>
      <c r="Q90">
        <v>525057663.39999998</v>
      </c>
      <c r="R90">
        <v>633741807.20000005</v>
      </c>
      <c r="S90">
        <v>756104761.20000005</v>
      </c>
      <c r="T90">
        <v>786310948.39999998</v>
      </c>
      <c r="U90">
        <v>836375367.79999995</v>
      </c>
      <c r="V90">
        <v>930312967.79999995</v>
      </c>
      <c r="W90">
        <v>1053329789.7</v>
      </c>
      <c r="X90">
        <v>1171297355.0999999</v>
      </c>
      <c r="Y90">
        <v>1138754761.2</v>
      </c>
      <c r="Z90">
        <v>1375342328.8</v>
      </c>
      <c r="AA90">
        <v>1369541779.3</v>
      </c>
      <c r="AB90">
        <v>1345686447.5999999</v>
      </c>
      <c r="AC90">
        <v>1256355640.9000001</v>
      </c>
      <c r="AD90">
        <v>1463775807.2</v>
      </c>
      <c r="AE90">
        <v>1763025058.9000001</v>
      </c>
      <c r="AF90">
        <v>2068868486.5</v>
      </c>
      <c r="AG90">
        <v>2261520052.5999999</v>
      </c>
      <c r="AH90">
        <v>2166158233.4000001</v>
      </c>
      <c r="AI90">
        <v>2430250483.9000001</v>
      </c>
      <c r="AJ90">
        <v>2559675335.9000001</v>
      </c>
      <c r="AK90">
        <v>2594685886.3000002</v>
      </c>
      <c r="AL90">
        <v>2769171417.1999998</v>
      </c>
      <c r="AM90">
        <v>3041841275.1999998</v>
      </c>
      <c r="AN90">
        <v>3197334274.3000002</v>
      </c>
      <c r="AO90">
        <v>3208155193.1999998</v>
      </c>
      <c r="AP90">
        <v>3485269717.5999999</v>
      </c>
      <c r="AQ90">
        <v>3540895065.5</v>
      </c>
      <c r="AR90">
        <v>3204587497.5</v>
      </c>
      <c r="AS90">
        <v>3077966048.6999998</v>
      </c>
      <c r="AT90">
        <v>2909940903.9000001</v>
      </c>
      <c r="AU90">
        <v>3162360510.5999999</v>
      </c>
      <c r="AV90">
        <v>3172816864.8000002</v>
      </c>
      <c r="AW90">
        <v>3213855090.5999999</v>
      </c>
      <c r="AX90">
        <v>3080188084.1999998</v>
      </c>
      <c r="AY90">
        <v>3156609938.3000002</v>
      </c>
      <c r="AZ90">
        <v>3303261166.0999999</v>
      </c>
      <c r="BA90">
        <v>3196241393.1999998</v>
      </c>
      <c r="BB90">
        <v>3225732941.5</v>
      </c>
      <c r="BC90">
        <v>3239064176.0999999</v>
      </c>
      <c r="BD90">
        <v>3204983552.1999998</v>
      </c>
      <c r="BE90">
        <v>1338544650.0999999</v>
      </c>
      <c r="BF90">
        <v>1678521277.0999999</v>
      </c>
      <c r="BG90">
        <v>1841210155.9000001</v>
      </c>
      <c r="BH90">
        <v>2038505983</v>
      </c>
      <c r="BI90">
        <v>2217230661.1999998</v>
      </c>
      <c r="BJ90">
        <v>2389897375.8000002</v>
      </c>
      <c r="BK90">
        <v>2590666017</v>
      </c>
      <c r="BL90">
        <v>3539865720.4000001</v>
      </c>
      <c r="BM90">
        <v>4117019182</v>
      </c>
      <c r="BN90">
        <v>4641861330</v>
      </c>
      <c r="BO90">
        <v>4903692018.8999996</v>
      </c>
      <c r="BP90">
        <v>5163409013.8999996</v>
      </c>
      <c r="BQ90">
        <v>5388299536.1000004</v>
      </c>
    </row>
    <row r="91" spans="1:69" x14ac:dyDescent="0.35">
      <c r="A91" t="s">
        <v>19</v>
      </c>
      <c r="B91" t="s">
        <v>68</v>
      </c>
      <c r="C91" t="s">
        <v>362</v>
      </c>
      <c r="D91" t="s">
        <v>493</v>
      </c>
      <c r="O91">
        <v>5076000</v>
      </c>
      <c r="P91">
        <v>5479788.0999999996</v>
      </c>
      <c r="Q91">
        <v>7363300.5999999996</v>
      </c>
      <c r="R91">
        <v>8860001.5999999996</v>
      </c>
      <c r="S91">
        <v>12224401.5</v>
      </c>
      <c r="T91">
        <v>13415000</v>
      </c>
      <c r="U91">
        <v>15427601.5</v>
      </c>
      <c r="V91">
        <v>38015802.799999997</v>
      </c>
      <c r="W91">
        <v>49814426.700000003</v>
      </c>
      <c r="X91">
        <v>81190316.200000003</v>
      </c>
      <c r="Y91">
        <v>136794649.30000001</v>
      </c>
      <c r="Z91">
        <v>176028514.19999999</v>
      </c>
      <c r="AA91">
        <v>207092702.69999999</v>
      </c>
      <c r="AB91">
        <v>211728665.59999999</v>
      </c>
      <c r="AC91">
        <v>230291916.69999999</v>
      </c>
      <c r="AD91">
        <v>245076853.80000001</v>
      </c>
      <c r="AE91">
        <v>270132607.5</v>
      </c>
      <c r="AF91">
        <v>326670313.30000001</v>
      </c>
      <c r="AG91">
        <v>325153968.39999998</v>
      </c>
      <c r="AH91">
        <v>337733390.80000001</v>
      </c>
      <c r="AI91">
        <v>369107805.30000001</v>
      </c>
      <c r="AJ91">
        <v>383161876.89999998</v>
      </c>
      <c r="AK91">
        <v>403393643.30000001</v>
      </c>
      <c r="AL91">
        <v>425974575.10000002</v>
      </c>
      <c r="AM91">
        <v>422977251.39999998</v>
      </c>
      <c r="AN91">
        <v>426068749.69999999</v>
      </c>
      <c r="AO91">
        <v>451989840.89999998</v>
      </c>
      <c r="AP91">
        <v>424645554.30000001</v>
      </c>
      <c r="AQ91">
        <v>459520620.60000002</v>
      </c>
      <c r="AR91">
        <v>471742641.39999998</v>
      </c>
      <c r="AS91">
        <v>490135711.89999998</v>
      </c>
      <c r="AT91">
        <v>494508599.30000001</v>
      </c>
      <c r="AU91">
        <v>583775769.60000002</v>
      </c>
      <c r="AV91">
        <v>643381438.20000005</v>
      </c>
      <c r="AW91">
        <v>679691270.29999995</v>
      </c>
      <c r="AX91">
        <v>661826687.39999998</v>
      </c>
      <c r="AY91">
        <v>709322151.39999998</v>
      </c>
      <c r="AZ91">
        <v>690822190.60000002</v>
      </c>
      <c r="BA91">
        <v>391243687.5</v>
      </c>
      <c r="BB91">
        <v>531073521.19999999</v>
      </c>
      <c r="BC91">
        <v>543809679.29999995</v>
      </c>
      <c r="BD91">
        <v>515906627</v>
      </c>
      <c r="BE91">
        <v>565576213.20000005</v>
      </c>
      <c r="BF91">
        <v>582880967.79999995</v>
      </c>
      <c r="BG91">
        <v>558419261.5</v>
      </c>
      <c r="BH91">
        <v>586005734.10000002</v>
      </c>
      <c r="BI91">
        <v>623076239.20000005</v>
      </c>
      <c r="BJ91">
        <v>754615476.10000002</v>
      </c>
      <c r="BK91">
        <v>777981034.29999995</v>
      </c>
      <c r="BL91">
        <v>851796355.89999998</v>
      </c>
      <c r="BM91">
        <v>964018162.5</v>
      </c>
      <c r="BN91">
        <v>1112738213.7</v>
      </c>
      <c r="BO91">
        <v>1179606116.4000001</v>
      </c>
      <c r="BP91">
        <v>1324832841.5999999</v>
      </c>
      <c r="BQ91">
        <v>1642671191.3</v>
      </c>
    </row>
    <row r="92" spans="1:69" x14ac:dyDescent="0.35">
      <c r="A92" t="s">
        <v>473</v>
      </c>
      <c r="B92" t="s">
        <v>131</v>
      </c>
      <c r="C92" t="s">
        <v>362</v>
      </c>
      <c r="D92" t="s">
        <v>493</v>
      </c>
      <c r="O92">
        <v>0</v>
      </c>
      <c r="P92">
        <v>0</v>
      </c>
      <c r="Q92">
        <v>0</v>
      </c>
      <c r="R92">
        <v>0</v>
      </c>
      <c r="S92">
        <v>0</v>
      </c>
      <c r="T92">
        <v>7903500.5</v>
      </c>
      <c r="U92">
        <v>16172701.6</v>
      </c>
      <c r="V92">
        <v>25849862.300000001</v>
      </c>
      <c r="W92">
        <v>51399777.5</v>
      </c>
      <c r="X92">
        <v>69510697</v>
      </c>
      <c r="Y92">
        <v>137332753.30000001</v>
      </c>
      <c r="Z92">
        <v>149446902.5</v>
      </c>
      <c r="AA92">
        <v>170159605</v>
      </c>
      <c r="AB92">
        <v>198812301</v>
      </c>
      <c r="AC92">
        <v>254002180.80000001</v>
      </c>
      <c r="AD92">
        <v>319396839.10000002</v>
      </c>
      <c r="AE92">
        <v>372249867.5</v>
      </c>
      <c r="AF92">
        <v>485400954.69999999</v>
      </c>
      <c r="AG92">
        <v>569144690.29999995</v>
      </c>
      <c r="AH92">
        <v>598499893.10000002</v>
      </c>
      <c r="AI92">
        <v>697504207</v>
      </c>
      <c r="AJ92">
        <v>750546467.39999998</v>
      </c>
      <c r="AK92">
        <v>764629993.29999995</v>
      </c>
      <c r="AL92">
        <v>789803311.39999998</v>
      </c>
      <c r="AM92">
        <v>852536430.79999995</v>
      </c>
      <c r="AN92">
        <v>896864789.89999998</v>
      </c>
      <c r="AO92">
        <v>938975769.79999995</v>
      </c>
      <c r="AP92">
        <v>924268531.79999995</v>
      </c>
      <c r="AQ92">
        <v>973582599.89999998</v>
      </c>
      <c r="AR92">
        <v>943568217.5</v>
      </c>
      <c r="AS92">
        <v>952017343.10000002</v>
      </c>
      <c r="AT92">
        <v>906290735.5</v>
      </c>
      <c r="AU92">
        <v>978472635.70000005</v>
      </c>
      <c r="AV92">
        <v>1063464780.4</v>
      </c>
      <c r="AW92">
        <v>1109546144</v>
      </c>
      <c r="AX92">
        <v>1020656917.4</v>
      </c>
      <c r="AY92">
        <v>1043971913.1</v>
      </c>
      <c r="AZ92">
        <v>1087751481.7</v>
      </c>
      <c r="BA92">
        <v>1094336083.9000001</v>
      </c>
      <c r="BB92">
        <v>1114619855.5999999</v>
      </c>
      <c r="BC92">
        <v>1074494840</v>
      </c>
      <c r="BD92">
        <v>260874427.19999999</v>
      </c>
      <c r="BE92">
        <v>276717156.39999998</v>
      </c>
      <c r="BF92">
        <v>311568795.30000001</v>
      </c>
      <c r="BG92">
        <v>391176127.69999999</v>
      </c>
      <c r="BH92">
        <v>577133531</v>
      </c>
      <c r="BI92">
        <v>595584357.39999998</v>
      </c>
      <c r="BJ92">
        <v>748623418.10000002</v>
      </c>
      <c r="BK92">
        <v>823323609.79999995</v>
      </c>
      <c r="BL92">
        <v>901974865.29999995</v>
      </c>
      <c r="BM92">
        <v>1117538509.3</v>
      </c>
      <c r="BN92">
        <v>1257861528.4000001</v>
      </c>
      <c r="BO92">
        <v>1250735517.9000001</v>
      </c>
      <c r="BP92">
        <v>1422541608.5999999</v>
      </c>
      <c r="BQ92">
        <v>1433190116.5</v>
      </c>
    </row>
    <row r="93" spans="1:69" x14ac:dyDescent="0.35">
      <c r="A93" t="s">
        <v>525</v>
      </c>
      <c r="B93" t="s">
        <v>187</v>
      </c>
      <c r="C93" t="s">
        <v>362</v>
      </c>
      <c r="D93" t="s">
        <v>493</v>
      </c>
    </row>
    <row r="94" spans="1:69" x14ac:dyDescent="0.35">
      <c r="A94" t="s">
        <v>565</v>
      </c>
      <c r="B94" t="s">
        <v>440</v>
      </c>
      <c r="C94" t="s">
        <v>362</v>
      </c>
      <c r="D94" t="s">
        <v>493</v>
      </c>
    </row>
    <row r="95" spans="1:69" x14ac:dyDescent="0.35">
      <c r="A95" t="s">
        <v>61</v>
      </c>
      <c r="B95" t="s">
        <v>491</v>
      </c>
      <c r="C95" t="s">
        <v>362</v>
      </c>
      <c r="D95" t="s">
        <v>493</v>
      </c>
      <c r="O95">
        <v>16048000</v>
      </c>
      <c r="P95">
        <v>9107715.9000000004</v>
      </c>
      <c r="Q95">
        <v>8931619.6999999993</v>
      </c>
      <c r="R95">
        <v>8980951.9000000004</v>
      </c>
      <c r="S95">
        <v>9274607.5</v>
      </c>
      <c r="T95">
        <v>10525917</v>
      </c>
      <c r="U95">
        <v>10642862.4</v>
      </c>
      <c r="V95">
        <v>14396012.199999999</v>
      </c>
      <c r="W95">
        <v>19119750.300000001</v>
      </c>
      <c r="X95">
        <v>22361284.899999999</v>
      </c>
      <c r="Y95">
        <v>21536329.899999999</v>
      </c>
      <c r="Z95">
        <v>34017737</v>
      </c>
      <c r="AA95">
        <v>45419806.899999999</v>
      </c>
      <c r="AB95">
        <v>58501940.700000003</v>
      </c>
      <c r="AC95">
        <v>55598855.299999997</v>
      </c>
      <c r="AD95">
        <v>59764950.899999999</v>
      </c>
      <c r="AE95">
        <v>65312669.5</v>
      </c>
      <c r="AF95">
        <v>80338248</v>
      </c>
      <c r="AG95">
        <v>90751128.900000006</v>
      </c>
      <c r="AH95">
        <v>91648351.599999994</v>
      </c>
      <c r="AI95">
        <v>112883317</v>
      </c>
      <c r="AJ95">
        <v>124502215.7</v>
      </c>
      <c r="AK95">
        <v>117298720.7</v>
      </c>
      <c r="AL95">
        <v>149341231.59999999</v>
      </c>
      <c r="AM95">
        <v>130260020.59999999</v>
      </c>
      <c r="AN95">
        <v>128146012.90000001</v>
      </c>
      <c r="AO95">
        <v>140689393.69999999</v>
      </c>
      <c r="AP95">
        <v>116640568</v>
      </c>
      <c r="AQ95">
        <v>172158149.19999999</v>
      </c>
      <c r="AR95">
        <v>137900702.40000001</v>
      </c>
      <c r="AS95">
        <v>199420878.40000001</v>
      </c>
      <c r="AT95">
        <v>235652510.59999999</v>
      </c>
      <c r="AU95">
        <v>372086143.10000002</v>
      </c>
      <c r="AV95">
        <v>369076336.60000002</v>
      </c>
      <c r="AW95">
        <v>429599096.39999998</v>
      </c>
      <c r="AX95">
        <v>362225849.5</v>
      </c>
      <c r="AY95">
        <v>452574948.39999998</v>
      </c>
      <c r="AZ95">
        <v>487671808.19999999</v>
      </c>
      <c r="BA95">
        <v>538874448.70000005</v>
      </c>
      <c r="BB95">
        <v>556610998.39999998</v>
      </c>
      <c r="BC95">
        <v>560589966.79999995</v>
      </c>
      <c r="BD95">
        <v>532314611.80000001</v>
      </c>
      <c r="BE95">
        <v>589266059.79999995</v>
      </c>
      <c r="BF95">
        <v>586857002.20000005</v>
      </c>
      <c r="BG95">
        <v>638459103.29999995</v>
      </c>
      <c r="BH95">
        <v>602313099.10000002</v>
      </c>
      <c r="BI95">
        <v>623422784.29999995</v>
      </c>
      <c r="BJ95">
        <v>563166097.20000005</v>
      </c>
      <c r="BK95">
        <v>580171366.29999995</v>
      </c>
      <c r="BL95">
        <v>548133057.5</v>
      </c>
      <c r="BM95">
        <v>834201747.60000002</v>
      </c>
      <c r="BN95">
        <v>898682923.20000005</v>
      </c>
      <c r="BO95">
        <v>853727574.60000002</v>
      </c>
      <c r="BP95">
        <v>881513363.5</v>
      </c>
      <c r="BQ95">
        <v>863278627.60000002</v>
      </c>
    </row>
    <row r="96" spans="1:69" x14ac:dyDescent="0.35">
      <c r="A96" t="s">
        <v>426</v>
      </c>
      <c r="B96" t="s">
        <v>541</v>
      </c>
      <c r="C96" t="s">
        <v>362</v>
      </c>
      <c r="D96" t="s">
        <v>493</v>
      </c>
    </row>
    <row r="97" spans="1:69" x14ac:dyDescent="0.35">
      <c r="A97" t="s">
        <v>213</v>
      </c>
      <c r="B97" t="s">
        <v>113</v>
      </c>
      <c r="C97" t="s">
        <v>362</v>
      </c>
      <c r="D97" t="s">
        <v>493</v>
      </c>
      <c r="O97">
        <v>192905000</v>
      </c>
      <c r="P97">
        <v>219103000</v>
      </c>
      <c r="Q97">
        <v>234065000</v>
      </c>
      <c r="R97">
        <v>280352000</v>
      </c>
      <c r="S97">
        <v>325354000</v>
      </c>
      <c r="T97">
        <v>396868000</v>
      </c>
      <c r="U97">
        <v>465475440</v>
      </c>
      <c r="V97">
        <v>744635179.89999998</v>
      </c>
      <c r="W97">
        <v>909888330.39999998</v>
      </c>
      <c r="X97">
        <v>1142203893.7</v>
      </c>
      <c r="Y97">
        <v>1269754662.5</v>
      </c>
      <c r="Z97">
        <v>1368802607.7</v>
      </c>
      <c r="AA97">
        <v>1654445085.8</v>
      </c>
      <c r="AB97">
        <v>1925687830.4000001</v>
      </c>
      <c r="AC97">
        <v>2486022261.0999999</v>
      </c>
      <c r="AD97">
        <v>2787414340.4000001</v>
      </c>
      <c r="AE97">
        <v>2915605759.5</v>
      </c>
      <c r="AF97">
        <v>2891484672.5</v>
      </c>
      <c r="AG97">
        <v>2707894026.9000001</v>
      </c>
      <c r="AH97">
        <v>2701287648.9000001</v>
      </c>
      <c r="AI97">
        <v>2911024152</v>
      </c>
      <c r="AJ97">
        <v>2867141152</v>
      </c>
      <c r="AK97">
        <v>2822946041.6999998</v>
      </c>
      <c r="AL97">
        <v>2945010418.6999998</v>
      </c>
      <c r="AM97">
        <v>3162188947.5999999</v>
      </c>
      <c r="AN97">
        <v>3335545326.6999998</v>
      </c>
      <c r="AO97">
        <v>3414092731.3000002</v>
      </c>
      <c r="AP97">
        <v>3513160298.8000002</v>
      </c>
      <c r="AQ97">
        <v>3691416630.6999998</v>
      </c>
      <c r="AR97">
        <v>3873237129.5</v>
      </c>
      <c r="AS97">
        <v>3948027445.5999999</v>
      </c>
      <c r="AT97">
        <v>4381821175.1000004</v>
      </c>
      <c r="AU97">
        <v>4527094223.8000002</v>
      </c>
      <c r="AV97">
        <v>5157578025.6000004</v>
      </c>
      <c r="AW97">
        <v>8094354233.6999998</v>
      </c>
      <c r="AX97">
        <v>9506426234.1000004</v>
      </c>
      <c r="AY97">
        <v>10946171835</v>
      </c>
      <c r="AZ97">
        <v>12678187392.299999</v>
      </c>
      <c r="BA97">
        <v>13823078747.700001</v>
      </c>
      <c r="BB97">
        <v>14824423718</v>
      </c>
      <c r="BC97">
        <v>15043073564.1</v>
      </c>
      <c r="BD97">
        <v>16281345423.5</v>
      </c>
      <c r="BE97">
        <v>15367094881.6</v>
      </c>
      <c r="BF97">
        <v>17484024750.5</v>
      </c>
      <c r="BG97">
        <v>19511836131.599998</v>
      </c>
      <c r="BH97">
        <v>20378217942.099998</v>
      </c>
      <c r="BI97">
        <v>21129829604.400002</v>
      </c>
      <c r="BJ97">
        <v>23264893723.799999</v>
      </c>
      <c r="BK97">
        <v>24274929980.599998</v>
      </c>
      <c r="BL97">
        <v>24596433139.299999</v>
      </c>
      <c r="BM97">
        <v>24357414712.099998</v>
      </c>
      <c r="BN97">
        <v>26313444120.099998</v>
      </c>
      <c r="BO97">
        <v>25269486615.200001</v>
      </c>
      <c r="BP97">
        <v>25662103251.599998</v>
      </c>
      <c r="BQ97">
        <v>27058876458.5</v>
      </c>
    </row>
    <row r="98" spans="1:69" x14ac:dyDescent="0.35">
      <c r="A98" t="s">
        <v>600</v>
      </c>
      <c r="B98" t="s">
        <v>29</v>
      </c>
      <c r="C98" t="s">
        <v>362</v>
      </c>
      <c r="D98" t="s">
        <v>493</v>
      </c>
    </row>
    <row r="99" spans="1:69" x14ac:dyDescent="0.35">
      <c r="A99" t="s">
        <v>294</v>
      </c>
      <c r="B99" t="s">
        <v>432</v>
      </c>
      <c r="C99" t="s">
        <v>362</v>
      </c>
      <c r="D99" t="s">
        <v>493</v>
      </c>
      <c r="O99">
        <v>82870994.599999994</v>
      </c>
      <c r="P99">
        <v>156692603.40000001</v>
      </c>
      <c r="Q99">
        <v>158437579.30000001</v>
      </c>
      <c r="R99">
        <v>178511425.59999999</v>
      </c>
      <c r="S99">
        <v>221016020.09999999</v>
      </c>
      <c r="T99">
        <v>328651332.39999998</v>
      </c>
      <c r="U99">
        <v>426652641.89999998</v>
      </c>
      <c r="V99">
        <v>526512349.10000002</v>
      </c>
      <c r="W99">
        <v>611104607.79999995</v>
      </c>
      <c r="X99">
        <v>686832901.5</v>
      </c>
      <c r="Y99">
        <v>842654972.29999995</v>
      </c>
      <c r="Z99">
        <v>916874252</v>
      </c>
      <c r="AA99">
        <v>1006253020.8</v>
      </c>
      <c r="AB99">
        <v>1254134872.5</v>
      </c>
      <c r="AC99">
        <v>1313853315.8</v>
      </c>
      <c r="AD99">
        <v>1526166926.4000001</v>
      </c>
      <c r="AE99">
        <v>1663808255.4000001</v>
      </c>
      <c r="AF99">
        <v>1765744327.5999999</v>
      </c>
      <c r="AG99">
        <v>1894110767.7</v>
      </c>
      <c r="AH99">
        <v>1660210656</v>
      </c>
      <c r="AI99">
        <v>1963150253.4000001</v>
      </c>
      <c r="AJ99">
        <v>1977631781.7</v>
      </c>
      <c r="AK99">
        <v>1913525234.7</v>
      </c>
      <c r="AL99">
        <v>1967750372.7</v>
      </c>
      <c r="AM99">
        <v>2051880898.5999999</v>
      </c>
      <c r="AN99">
        <v>2118471710.0999999</v>
      </c>
      <c r="AO99">
        <v>1607335579</v>
      </c>
      <c r="AP99">
        <v>1590512898.5</v>
      </c>
      <c r="AQ99">
        <v>1480883510.5999999</v>
      </c>
      <c r="AR99">
        <v>1433536564.9000001</v>
      </c>
      <c r="AS99">
        <v>1374473166.9000001</v>
      </c>
      <c r="AT99">
        <v>1327603202.2</v>
      </c>
      <c r="AU99">
        <v>1390166088.4000001</v>
      </c>
      <c r="AV99">
        <v>1454158541.9000001</v>
      </c>
      <c r="AW99">
        <v>1368422040.0999999</v>
      </c>
      <c r="AX99">
        <v>1238833544.5</v>
      </c>
      <c r="AY99">
        <v>1163165911.8</v>
      </c>
      <c r="AZ99">
        <v>848663074.10000002</v>
      </c>
      <c r="BA99">
        <v>990493994.70000005</v>
      </c>
      <c r="BB99">
        <v>1427924569.8</v>
      </c>
      <c r="BC99">
        <v>1408397852</v>
      </c>
      <c r="BD99">
        <v>2006674225</v>
      </c>
      <c r="BE99">
        <v>1974205213</v>
      </c>
      <c r="BF99">
        <v>2302019509.3000002</v>
      </c>
      <c r="BG99">
        <v>2341948615.5</v>
      </c>
      <c r="BH99">
        <v>1636917068</v>
      </c>
      <c r="BI99">
        <v>1643860201.4000001</v>
      </c>
      <c r="BJ99">
        <v>1582078487.5999999</v>
      </c>
      <c r="BK99">
        <v>1607000663.7</v>
      </c>
      <c r="BL99">
        <v>1530459137.7</v>
      </c>
      <c r="BM99">
        <v>1506687262.5999999</v>
      </c>
      <c r="BN99">
        <v>1889705076</v>
      </c>
      <c r="BO99">
        <v>2070108385.5999999</v>
      </c>
      <c r="BP99">
        <v>2952574717.3000002</v>
      </c>
      <c r="BQ99">
        <v>3681569057.0999999</v>
      </c>
    </row>
    <row r="100" spans="1:69" x14ac:dyDescent="0.35">
      <c r="A100" t="s">
        <v>282</v>
      </c>
      <c r="B100" t="s">
        <v>433</v>
      </c>
      <c r="C100" t="s">
        <v>362</v>
      </c>
      <c r="D100" t="s">
        <v>493</v>
      </c>
    </row>
    <row r="101" spans="1:69" x14ac:dyDescent="0.35">
      <c r="A101" t="s">
        <v>218</v>
      </c>
      <c r="B101" t="s">
        <v>273</v>
      </c>
      <c r="C101" t="s">
        <v>362</v>
      </c>
      <c r="D101" t="s">
        <v>493</v>
      </c>
    </row>
    <row r="102" spans="1:69" x14ac:dyDescent="0.35">
      <c r="A102" t="s">
        <v>446</v>
      </c>
      <c r="B102" t="s">
        <v>51</v>
      </c>
      <c r="C102" t="s">
        <v>362</v>
      </c>
      <c r="D102" t="s">
        <v>493</v>
      </c>
      <c r="O102">
        <v>158332049.5</v>
      </c>
      <c r="P102">
        <v>195525800.59999999</v>
      </c>
      <c r="Q102">
        <v>221179512.30000001</v>
      </c>
      <c r="R102">
        <v>256095856.19999999</v>
      </c>
      <c r="S102">
        <v>351485456.69999999</v>
      </c>
      <c r="T102">
        <v>451047275.30000001</v>
      </c>
      <c r="U102">
        <v>442654582.30000001</v>
      </c>
      <c r="V102">
        <v>837192552.60000002</v>
      </c>
      <c r="W102">
        <v>1024364382</v>
      </c>
      <c r="X102">
        <v>1278417162.9000001</v>
      </c>
      <c r="Y102">
        <v>1572745693.5999999</v>
      </c>
      <c r="Z102">
        <v>1806705071.9000001</v>
      </c>
      <c r="AA102">
        <v>1948506802.3</v>
      </c>
      <c r="AB102">
        <v>2237516604</v>
      </c>
      <c r="AC102">
        <v>2407554578.9000001</v>
      </c>
      <c r="AD102">
        <v>2856023287.6999998</v>
      </c>
      <c r="AE102">
        <v>3098898300.3000002</v>
      </c>
      <c r="AF102">
        <v>3419824288.9000001</v>
      </c>
      <c r="AG102">
        <v>3426284929.5999999</v>
      </c>
      <c r="AH102">
        <v>3492341919.1999998</v>
      </c>
      <c r="AI102">
        <v>3816730011.5999999</v>
      </c>
      <c r="AJ102">
        <v>3483455267.5999999</v>
      </c>
      <c r="AK102">
        <v>3970308051</v>
      </c>
      <c r="AL102">
        <v>4432302415.1000004</v>
      </c>
      <c r="AM102">
        <v>4792475230.1000004</v>
      </c>
      <c r="AN102">
        <v>4910255065.8000002</v>
      </c>
      <c r="AO102">
        <v>4806522988.6999998</v>
      </c>
      <c r="AP102">
        <v>4943512916.1999998</v>
      </c>
      <c r="AQ102">
        <v>5100413863</v>
      </c>
      <c r="AR102">
        <v>5583856168.8000002</v>
      </c>
      <c r="AS102">
        <v>5616776612.6000004</v>
      </c>
      <c r="AT102">
        <v>5159558392.8000002</v>
      </c>
      <c r="AU102">
        <v>5491495663.8999996</v>
      </c>
      <c r="AV102">
        <v>5656942754.8999996</v>
      </c>
      <c r="AW102">
        <v>6205542461.1999998</v>
      </c>
      <c r="AX102">
        <v>5170226183.5</v>
      </c>
      <c r="AY102">
        <v>3987694941.5</v>
      </c>
      <c r="AZ102">
        <v>3010680924.0999999</v>
      </c>
      <c r="BA102">
        <v>3517193356.3000002</v>
      </c>
      <c r="BB102">
        <v>3835948442.9000001</v>
      </c>
      <c r="BC102">
        <v>4008010903.5</v>
      </c>
      <c r="BD102">
        <v>4419471950.1999998</v>
      </c>
      <c r="BE102">
        <v>5086242375.8999996</v>
      </c>
      <c r="BF102">
        <v>6871384044.3999996</v>
      </c>
      <c r="BG102">
        <v>7374992615.6999998</v>
      </c>
      <c r="BH102">
        <v>7634387493.8000002</v>
      </c>
      <c r="BI102">
        <v>7621689846.3000002</v>
      </c>
      <c r="BJ102">
        <v>8749704481.5</v>
      </c>
      <c r="BK102">
        <v>9177024593.1000004</v>
      </c>
      <c r="BL102">
        <v>9755669687.5</v>
      </c>
      <c r="BM102">
        <v>11074425349.5</v>
      </c>
      <c r="BN102">
        <v>12507763354.799999</v>
      </c>
      <c r="BO102">
        <v>12638567154.6</v>
      </c>
      <c r="BP102">
        <v>12943993274.5</v>
      </c>
      <c r="BQ102">
        <v>14299817842.799999</v>
      </c>
    </row>
    <row r="103" spans="1:69" x14ac:dyDescent="0.35">
      <c r="A103" t="s">
        <v>558</v>
      </c>
      <c r="B103" t="s">
        <v>129</v>
      </c>
      <c r="C103" t="s">
        <v>362</v>
      </c>
      <c r="D103" t="s">
        <v>493</v>
      </c>
    </row>
    <row r="104" spans="1:69" x14ac:dyDescent="0.35">
      <c r="A104" t="s">
        <v>421</v>
      </c>
      <c r="B104" t="s">
        <v>510</v>
      </c>
      <c r="C104" t="s">
        <v>362</v>
      </c>
      <c r="D104" t="s">
        <v>493</v>
      </c>
    </row>
    <row r="105" spans="1:69" x14ac:dyDescent="0.35">
      <c r="A105" t="s">
        <v>4</v>
      </c>
      <c r="B105" t="s">
        <v>74</v>
      </c>
      <c r="C105" t="s">
        <v>362</v>
      </c>
      <c r="D105" t="s">
        <v>493</v>
      </c>
      <c r="O105">
        <v>52164000</v>
      </c>
      <c r="P105">
        <v>50037000</v>
      </c>
      <c r="Q105">
        <v>53696000</v>
      </c>
      <c r="R105">
        <v>51307000</v>
      </c>
      <c r="S105">
        <v>120420665</v>
      </c>
      <c r="T105">
        <v>148426495</v>
      </c>
      <c r="U105">
        <v>181456752.40000001</v>
      </c>
      <c r="V105">
        <v>235043455.30000001</v>
      </c>
      <c r="W105">
        <v>281813569</v>
      </c>
      <c r="X105">
        <v>334668126.69999999</v>
      </c>
      <c r="Y105">
        <v>382656540.80000001</v>
      </c>
      <c r="Z105">
        <v>500089812.30000001</v>
      </c>
      <c r="AA105">
        <v>609871507.39999998</v>
      </c>
      <c r="AB105">
        <v>644479206.20000005</v>
      </c>
      <c r="AC105">
        <v>731567557.70000005</v>
      </c>
      <c r="AD105">
        <v>782784896.79999995</v>
      </c>
      <c r="AE105">
        <v>773996522.29999995</v>
      </c>
      <c r="AF105">
        <v>905281161.29999995</v>
      </c>
      <c r="AG105">
        <v>877117132.5</v>
      </c>
      <c r="AH105">
        <v>859316294.29999995</v>
      </c>
      <c r="AI105">
        <v>939004257.89999998</v>
      </c>
      <c r="AJ105">
        <v>804898214.10000002</v>
      </c>
      <c r="AK105">
        <v>830301663.29999995</v>
      </c>
      <c r="AL105">
        <v>845830044.29999995</v>
      </c>
      <c r="AM105">
        <v>758204227.10000002</v>
      </c>
      <c r="AN105">
        <v>837402729.29999995</v>
      </c>
      <c r="AO105">
        <v>924237596.39999998</v>
      </c>
      <c r="AP105">
        <v>1071797087.1</v>
      </c>
      <c r="AQ105">
        <v>1068532781.9</v>
      </c>
      <c r="AR105">
        <v>1221741577.8</v>
      </c>
      <c r="AS105">
        <v>1205143476.2</v>
      </c>
      <c r="AT105">
        <v>1271014239</v>
      </c>
      <c r="AU105">
        <v>1271148138.8</v>
      </c>
      <c r="AV105">
        <v>1360909986.9000001</v>
      </c>
      <c r="AW105">
        <v>1322162871.5</v>
      </c>
      <c r="AX105">
        <v>1345851157.9000001</v>
      </c>
      <c r="AY105">
        <v>1524872000.4000001</v>
      </c>
      <c r="AZ105">
        <v>1710448631.4000001</v>
      </c>
      <c r="BA105">
        <v>2091205511.2</v>
      </c>
      <c r="BB105">
        <v>1556330667.7</v>
      </c>
      <c r="BC105">
        <v>1045027834.3</v>
      </c>
      <c r="BD105">
        <v>848912587.70000005</v>
      </c>
      <c r="BE105">
        <v>1265464320.3</v>
      </c>
      <c r="BF105">
        <v>1689407746.0999999</v>
      </c>
      <c r="BG105">
        <v>2094112399.9000001</v>
      </c>
      <c r="BH105">
        <v>2239950364.1999998</v>
      </c>
      <c r="BI105">
        <v>2300997423</v>
      </c>
      <c r="BJ105">
        <v>2367547376</v>
      </c>
      <c r="BK105">
        <v>2470002746.5</v>
      </c>
      <c r="BL105">
        <v>2470320988.5</v>
      </c>
      <c r="BM105">
        <v>2619431493.9000001</v>
      </c>
      <c r="BN105">
        <v>2970068585.1999998</v>
      </c>
      <c r="BO105">
        <v>2965270069.0999999</v>
      </c>
      <c r="BP105">
        <v>3156537449.6999998</v>
      </c>
      <c r="BQ105">
        <v>944741012.29999995</v>
      </c>
    </row>
    <row r="106" spans="1:69" x14ac:dyDescent="0.35">
      <c r="A106" t="s">
        <v>40</v>
      </c>
      <c r="B106" t="s">
        <v>518</v>
      </c>
      <c r="C106" t="s">
        <v>362</v>
      </c>
      <c r="D106" t="s">
        <v>493</v>
      </c>
    </row>
    <row r="107" spans="1:69" x14ac:dyDescent="0.35">
      <c r="A107" t="s">
        <v>583</v>
      </c>
      <c r="B107" t="s">
        <v>117</v>
      </c>
      <c r="C107" t="s">
        <v>362</v>
      </c>
      <c r="D107" t="s">
        <v>493</v>
      </c>
    </row>
    <row r="108" spans="1:69" x14ac:dyDescent="0.35">
      <c r="A108" t="s">
        <v>63</v>
      </c>
      <c r="B108" t="s">
        <v>221</v>
      </c>
      <c r="C108" t="s">
        <v>362</v>
      </c>
      <c r="D108" t="s">
        <v>493</v>
      </c>
    </row>
    <row r="109" spans="1:69" x14ac:dyDescent="0.35">
      <c r="A109" t="s">
        <v>601</v>
      </c>
      <c r="B109" t="s">
        <v>443</v>
      </c>
      <c r="C109" t="s">
        <v>362</v>
      </c>
      <c r="D109" t="s">
        <v>493</v>
      </c>
    </row>
    <row r="110" spans="1:69" x14ac:dyDescent="0.35">
      <c r="A110" t="s">
        <v>405</v>
      </c>
      <c r="B110" t="s">
        <v>1</v>
      </c>
      <c r="C110" t="s">
        <v>362</v>
      </c>
      <c r="D110" t="s">
        <v>493</v>
      </c>
    </row>
    <row r="111" spans="1:69" x14ac:dyDescent="0.35">
      <c r="A111" t="s">
        <v>379</v>
      </c>
      <c r="B111" t="s">
        <v>383</v>
      </c>
      <c r="C111" t="s">
        <v>362</v>
      </c>
      <c r="D111" t="s">
        <v>493</v>
      </c>
      <c r="O111">
        <v>3432691278.3000002</v>
      </c>
      <c r="P111">
        <v>4682274735.3999996</v>
      </c>
      <c r="Q111">
        <v>5814543795.6999998</v>
      </c>
      <c r="R111">
        <v>7270793342</v>
      </c>
      <c r="S111">
        <v>9100920877.2000008</v>
      </c>
      <c r="T111">
        <v>11497812015.200001</v>
      </c>
      <c r="U111">
        <v>14010058797.700001</v>
      </c>
      <c r="V111">
        <v>16470538470.299999</v>
      </c>
      <c r="W111">
        <v>18045712413.700001</v>
      </c>
      <c r="X111">
        <v>18623748316.700001</v>
      </c>
      <c r="Y111">
        <v>20937697366.200001</v>
      </c>
      <c r="Z111">
        <v>22761139319.299999</v>
      </c>
      <c r="AA111">
        <v>25133280486.700001</v>
      </c>
      <c r="AB111">
        <v>30229383588.599998</v>
      </c>
      <c r="AC111">
        <v>32025253802.299999</v>
      </c>
      <c r="AD111">
        <v>36714642568.199997</v>
      </c>
      <c r="AE111">
        <v>42914295378.800003</v>
      </c>
      <c r="AF111">
        <v>52526347016.800003</v>
      </c>
      <c r="AG111">
        <v>54053879424.800003</v>
      </c>
      <c r="AH111">
        <v>59380152209.800003</v>
      </c>
      <c r="AI111">
        <v>69848505848.5</v>
      </c>
      <c r="AJ111">
        <v>79528197362.600006</v>
      </c>
      <c r="AK111">
        <v>87987351692.300003</v>
      </c>
      <c r="AL111">
        <v>89157126589.399994</v>
      </c>
      <c r="AM111">
        <v>107819781286.8</v>
      </c>
      <c r="AN111">
        <v>124399503875.8</v>
      </c>
      <c r="AO111">
        <v>129003514948</v>
      </c>
      <c r="AP111">
        <v>136339703441</v>
      </c>
      <c r="AQ111">
        <v>151484839252.79999</v>
      </c>
      <c r="AR111">
        <v>151806502424.20001</v>
      </c>
      <c r="AS111">
        <v>144048996549.79999</v>
      </c>
      <c r="AT111">
        <v>132710089751.5</v>
      </c>
      <c r="AU111">
        <v>128444200507.89999</v>
      </c>
      <c r="AV111">
        <v>134372632167.3</v>
      </c>
      <c r="AW111">
        <v>138041813871.79999</v>
      </c>
      <c r="AX111">
        <v>142131795440.20001</v>
      </c>
      <c r="AY111">
        <v>135970010956.89999</v>
      </c>
      <c r="AZ111">
        <v>147827337604.29999</v>
      </c>
      <c r="BA111">
        <v>157916194612.39999</v>
      </c>
      <c r="BB111">
        <v>179404705351</v>
      </c>
      <c r="BC111">
        <v>198278352695.5</v>
      </c>
      <c r="BD111">
        <v>219629383247.39999</v>
      </c>
      <c r="BE111">
        <v>252623033564.29999</v>
      </c>
      <c r="BF111">
        <v>263643864629.20001</v>
      </c>
      <c r="BG111">
        <v>292565412570.09998</v>
      </c>
      <c r="BH111">
        <v>307849578357.79999</v>
      </c>
      <c r="BI111">
        <v>319052612588.09998</v>
      </c>
      <c r="BJ111">
        <v>353688908559.20001</v>
      </c>
      <c r="BK111">
        <v>379851596756.20001</v>
      </c>
      <c r="BL111">
        <v>402379692152.70001</v>
      </c>
      <c r="BM111">
        <v>417036407016.70001</v>
      </c>
      <c r="BN111">
        <v>417845089193.79999</v>
      </c>
      <c r="BO111">
        <v>395986001909.70001</v>
      </c>
      <c r="BP111">
        <v>399613483613.09998</v>
      </c>
      <c r="BQ111">
        <v>421059208493.79999</v>
      </c>
    </row>
    <row r="112" spans="1:69" x14ac:dyDescent="0.35">
      <c r="A112" t="s">
        <v>597</v>
      </c>
      <c r="B112" t="s">
        <v>552</v>
      </c>
      <c r="C112" t="s">
        <v>362</v>
      </c>
      <c r="D112" t="s">
        <v>493</v>
      </c>
      <c r="O112">
        <v>6414570257.000001</v>
      </c>
      <c r="P112">
        <v>8336163510.1999998</v>
      </c>
      <c r="Q112">
        <v>9743199579.1000004</v>
      </c>
      <c r="R112">
        <v>12644114747.799995</v>
      </c>
      <c r="S112">
        <v>16866611478.300001</v>
      </c>
      <c r="T112">
        <v>20771858243.799999</v>
      </c>
      <c r="U112">
        <v>24500850783.200001</v>
      </c>
      <c r="V112">
        <v>33048254800.999992</v>
      </c>
      <c r="W112">
        <v>41245753085.199997</v>
      </c>
      <c r="X112">
        <v>47515797739.799988</v>
      </c>
      <c r="Y112">
        <v>59558426651.300026</v>
      </c>
      <c r="Z112">
        <v>69067109033.699997</v>
      </c>
      <c r="AA112">
        <v>78375458923.100021</v>
      </c>
      <c r="AB112">
        <v>87391572481</v>
      </c>
      <c r="AC112">
        <v>92370318320.099976</v>
      </c>
      <c r="AD112">
        <v>110047063530.2</v>
      </c>
      <c r="AE112">
        <v>123605375317</v>
      </c>
      <c r="AF112">
        <v>147632492224</v>
      </c>
      <c r="AG112">
        <v>152575355594.90002</v>
      </c>
      <c r="AH112">
        <v>158894565677.49997</v>
      </c>
      <c r="AI112">
        <v>175578366915.29999</v>
      </c>
      <c r="AJ112">
        <v>185384845214.69995</v>
      </c>
      <c r="AK112">
        <v>189287423757.99997</v>
      </c>
      <c r="AL112">
        <v>196099276440.80002</v>
      </c>
      <c r="AM112">
        <v>208060140169.00009</v>
      </c>
      <c r="AN112">
        <v>214806243309.79999</v>
      </c>
      <c r="AO112">
        <v>209730835353.19998</v>
      </c>
      <c r="AP112">
        <v>201341895525.10001</v>
      </c>
      <c r="AQ112">
        <v>213368662677</v>
      </c>
      <c r="AR112">
        <v>207636867622.29993</v>
      </c>
      <c r="AS112">
        <v>200836304517</v>
      </c>
      <c r="AT112">
        <v>193265982885.20004</v>
      </c>
      <c r="AU112">
        <v>204868957700.09998</v>
      </c>
      <c r="AV112">
        <v>216684155673.49997</v>
      </c>
      <c r="AW112">
        <v>223067695943.90009</v>
      </c>
      <c r="AX112">
        <v>199774194008.80005</v>
      </c>
      <c r="AY112">
        <v>175922537638.59998</v>
      </c>
      <c r="AZ112">
        <v>194627329114.80002</v>
      </c>
      <c r="BA112">
        <v>209845730829.30002</v>
      </c>
      <c r="BB112">
        <v>237179325986.60007</v>
      </c>
      <c r="BC112">
        <v>246683708992.30005</v>
      </c>
      <c r="BD112">
        <v>268455482268.2001</v>
      </c>
      <c r="BE112">
        <v>302005117529</v>
      </c>
      <c r="BF112">
        <v>346052239975.39996</v>
      </c>
      <c r="BG112">
        <v>377436188600.79993</v>
      </c>
      <c r="BH112">
        <v>406024629162.49988</v>
      </c>
      <c r="BI112">
        <v>433745789407.00006</v>
      </c>
      <c r="BJ112">
        <v>485820066516.99994</v>
      </c>
      <c r="BK112">
        <v>522394217702.19983</v>
      </c>
      <c r="BL112">
        <v>558620790099.30017</v>
      </c>
      <c r="BM112">
        <v>623174599232.19995</v>
      </c>
      <c r="BN112">
        <v>678315494793</v>
      </c>
      <c r="BO112">
        <v>695060494740.10022</v>
      </c>
      <c r="BP112">
        <v>736015482047.69995</v>
      </c>
    </row>
    <row r="113" spans="1:69" x14ac:dyDescent="0.35">
      <c r="A113" t="s">
        <v>242</v>
      </c>
      <c r="B113" t="s">
        <v>94</v>
      </c>
      <c r="C113" t="s">
        <v>362</v>
      </c>
      <c r="D113" t="s">
        <v>493</v>
      </c>
    </row>
    <row r="114" spans="1:69" x14ac:dyDescent="0.35">
      <c r="A114" t="s">
        <v>168</v>
      </c>
      <c r="B114" t="s">
        <v>488</v>
      </c>
      <c r="C114" t="s">
        <v>362</v>
      </c>
      <c r="D114" t="s">
        <v>493</v>
      </c>
      <c r="O114">
        <v>8425121119.3999996</v>
      </c>
      <c r="P114">
        <v>9328742281.7000008</v>
      </c>
      <c r="Q114">
        <v>10029268976.799999</v>
      </c>
      <c r="R114">
        <v>10965917520.299999</v>
      </c>
      <c r="S114">
        <v>12696953185.799999</v>
      </c>
      <c r="T114">
        <v>13865614018.799999</v>
      </c>
      <c r="U114">
        <v>14586390285.700001</v>
      </c>
      <c r="V114">
        <v>15414657569.6</v>
      </c>
      <c r="W114">
        <v>16520249175.299999</v>
      </c>
      <c r="X114">
        <v>18190384895.099998</v>
      </c>
      <c r="Y114">
        <v>20723360696.400002</v>
      </c>
      <c r="Z114">
        <v>22480074709.099998</v>
      </c>
      <c r="AA114">
        <v>26942860601.200001</v>
      </c>
      <c r="AB114">
        <v>30649492455</v>
      </c>
      <c r="AC114">
        <v>32763961315.200001</v>
      </c>
      <c r="AD114">
        <v>38934813159.400002</v>
      </c>
      <c r="AE114">
        <v>44909442697.300003</v>
      </c>
      <c r="AF114">
        <v>53424896488.5</v>
      </c>
      <c r="AG114">
        <v>59288500301.300003</v>
      </c>
      <c r="AH114">
        <v>73721064976</v>
      </c>
      <c r="AI114">
        <v>83471522909.199997</v>
      </c>
      <c r="AJ114">
        <v>84852336186.300003</v>
      </c>
      <c r="AK114">
        <v>87775440181.5</v>
      </c>
      <c r="AL114">
        <v>91330328767.5</v>
      </c>
      <c r="AM114">
        <v>97898626998.800003</v>
      </c>
      <c r="AN114">
        <v>93808975940.100006</v>
      </c>
      <c r="AO114">
        <v>93966076365.699997</v>
      </c>
      <c r="AP114">
        <v>94059291709</v>
      </c>
      <c r="AQ114">
        <v>98333648294.5</v>
      </c>
      <c r="AR114">
        <v>99779510346.300003</v>
      </c>
      <c r="AS114">
        <v>101131491179.60001</v>
      </c>
      <c r="AT114">
        <v>99500093585.5</v>
      </c>
      <c r="AU114">
        <v>105741601402</v>
      </c>
      <c r="AV114">
        <v>118884622369.5</v>
      </c>
      <c r="AW114">
        <v>123644485822.10001</v>
      </c>
      <c r="AX114">
        <v>121195478444.5</v>
      </c>
      <c r="AY114">
        <v>159525518911.39999</v>
      </c>
      <c r="AZ114">
        <v>204057539299.5</v>
      </c>
      <c r="BA114">
        <v>227111768434.60001</v>
      </c>
      <c r="BB114">
        <v>256312241333.39999</v>
      </c>
      <c r="BC114">
        <v>290427544563.20001</v>
      </c>
      <c r="BD114">
        <v>334399298473.09998</v>
      </c>
      <c r="BE114">
        <v>392576050359.70001</v>
      </c>
      <c r="BF114">
        <v>427245079805.90002</v>
      </c>
      <c r="BG114">
        <v>457507409077.40002</v>
      </c>
      <c r="BH114">
        <v>478831010025.09998</v>
      </c>
      <c r="BI114">
        <v>455541896498.90002</v>
      </c>
      <c r="BJ114">
        <v>511575707373.59998</v>
      </c>
      <c r="BK114">
        <v>521175685410</v>
      </c>
      <c r="BL114">
        <v>561017395481.30005</v>
      </c>
      <c r="BM114">
        <v>564979321177.09998</v>
      </c>
      <c r="BN114">
        <v>611987174447.69995</v>
      </c>
      <c r="BO114">
        <v>615514904164.5</v>
      </c>
      <c r="BP114">
        <v>647556415555.5</v>
      </c>
      <c r="BQ114">
        <v>716456023890.40002</v>
      </c>
    </row>
    <row r="115" spans="1:69" x14ac:dyDescent="0.35">
      <c r="A115" t="s">
        <v>420</v>
      </c>
      <c r="B115" t="s">
        <v>301</v>
      </c>
      <c r="C115" t="s">
        <v>362</v>
      </c>
      <c r="D115" t="s">
        <v>493</v>
      </c>
    </row>
    <row r="116" spans="1:69" x14ac:dyDescent="0.35">
      <c r="A116" t="s">
        <v>86</v>
      </c>
      <c r="B116" t="s">
        <v>44</v>
      </c>
      <c r="C116" t="s">
        <v>362</v>
      </c>
      <c r="D116" t="s">
        <v>493</v>
      </c>
    </row>
    <row r="117" spans="1:69" x14ac:dyDescent="0.35">
      <c r="A117" t="s">
        <v>337</v>
      </c>
      <c r="B117" t="s">
        <v>147</v>
      </c>
      <c r="C117" t="s">
        <v>362</v>
      </c>
      <c r="D117" t="s">
        <v>493</v>
      </c>
      <c r="Y117">
        <v>4618942613.1999998</v>
      </c>
      <c r="Z117">
        <v>3969211554.6999998</v>
      </c>
      <c r="AA117">
        <v>8269750070.8000002</v>
      </c>
      <c r="AB117">
        <v>7078085808</v>
      </c>
      <c r="AC117">
        <v>5159730090</v>
      </c>
      <c r="AD117">
        <v>6025227842</v>
      </c>
      <c r="AE117">
        <v>5793964260.5</v>
      </c>
      <c r="AF117">
        <v>6150722410.1000004</v>
      </c>
      <c r="AG117">
        <v>5843049165.3000002</v>
      </c>
      <c r="AH117">
        <v>6526858378.8000002</v>
      </c>
      <c r="AI117">
        <v>9026182538.2000008</v>
      </c>
      <c r="AJ117">
        <v>11368427701.299999</v>
      </c>
      <c r="AK117">
        <v>16074665445.299999</v>
      </c>
      <c r="AL117">
        <v>23392435930.400002</v>
      </c>
      <c r="AM117">
        <v>21792481976.900002</v>
      </c>
      <c r="AN117">
        <v>21681652185.700001</v>
      </c>
      <c r="AO117">
        <v>16684178793.1</v>
      </c>
      <c r="AP117">
        <v>11697339746.299999</v>
      </c>
      <c r="AQ117">
        <v>12341638353.4</v>
      </c>
      <c r="AR117">
        <v>9742304899.8999996</v>
      </c>
      <c r="AS117">
        <v>8800053478.5</v>
      </c>
      <c r="AT117">
        <v>8280878565</v>
      </c>
      <c r="AU117">
        <v>8934505230.3999996</v>
      </c>
      <c r="AV117">
        <v>14235372770.799999</v>
      </c>
      <c r="AW117">
        <v>20950347846.700001</v>
      </c>
      <c r="AX117">
        <v>21393520935.599998</v>
      </c>
      <c r="AY117">
        <v>20494226261.200001</v>
      </c>
      <c r="AZ117">
        <v>20834072180.200001</v>
      </c>
      <c r="BA117">
        <v>16026650174.6</v>
      </c>
      <c r="BB117">
        <v>18609984963.799999</v>
      </c>
      <c r="BC117">
        <v>19768742370.099998</v>
      </c>
      <c r="BD117">
        <v>17260291984</v>
      </c>
      <c r="BE117">
        <v>7481954468.1999998</v>
      </c>
      <c r="BF117">
        <v>7013042464.8999996</v>
      </c>
      <c r="BG117">
        <v>5817911004</v>
      </c>
      <c r="BH117">
        <v>6455859301</v>
      </c>
      <c r="BI117">
        <v>6058410415.5</v>
      </c>
      <c r="BJ117">
        <v>6819093933.3999996</v>
      </c>
      <c r="BK117">
        <v>5773699803.6000004</v>
      </c>
      <c r="BL117">
        <v>4855393068.1000004</v>
      </c>
      <c r="BM117">
        <v>5433188395.8000002</v>
      </c>
      <c r="BN117">
        <v>10348874166.9</v>
      </c>
      <c r="BO117">
        <v>9459955524.3999996</v>
      </c>
      <c r="BP117">
        <v>9900872535.1000004</v>
      </c>
      <c r="BQ117">
        <v>9654298895.5</v>
      </c>
    </row>
    <row r="118" spans="1:69" x14ac:dyDescent="0.35">
      <c r="A118" t="s">
        <v>0</v>
      </c>
      <c r="B118" t="s">
        <v>435</v>
      </c>
      <c r="C118" t="s">
        <v>362</v>
      </c>
      <c r="D118" t="s">
        <v>493</v>
      </c>
      <c r="BH118">
        <v>19135602755</v>
      </c>
      <c r="BI118">
        <v>23353445730.200001</v>
      </c>
      <c r="BJ118">
        <v>28081416224.599998</v>
      </c>
      <c r="BK118">
        <v>27797448159.700001</v>
      </c>
      <c r="BL118">
        <v>27486478709.099998</v>
      </c>
      <c r="BM118">
        <v>26328297576.5</v>
      </c>
      <c r="BN118">
        <v>25360186233.299999</v>
      </c>
      <c r="BO118">
        <v>22722727263.799999</v>
      </c>
      <c r="BP118">
        <v>20318433379.400002</v>
      </c>
      <c r="BQ118">
        <v>17517006333</v>
      </c>
    </row>
    <row r="119" spans="1:69" x14ac:dyDescent="0.35">
      <c r="A119" t="s">
        <v>21</v>
      </c>
      <c r="B119" t="s">
        <v>118</v>
      </c>
      <c r="C119" t="s">
        <v>362</v>
      </c>
      <c r="D119" t="s">
        <v>493</v>
      </c>
    </row>
    <row r="120" spans="1:69" x14ac:dyDescent="0.35">
      <c r="A120" t="s">
        <v>389</v>
      </c>
      <c r="B120" t="s">
        <v>548</v>
      </c>
      <c r="C120" t="s">
        <v>362</v>
      </c>
      <c r="D120" t="s">
        <v>493</v>
      </c>
    </row>
    <row r="121" spans="1:69" x14ac:dyDescent="0.35">
      <c r="A121" t="s">
        <v>141</v>
      </c>
      <c r="B121" t="s">
        <v>458</v>
      </c>
      <c r="C121" t="s">
        <v>362</v>
      </c>
      <c r="D121" t="s">
        <v>493</v>
      </c>
    </row>
    <row r="122" spans="1:69" x14ac:dyDescent="0.35">
      <c r="A122" t="s">
        <v>103</v>
      </c>
      <c r="B122" t="s">
        <v>573</v>
      </c>
      <c r="C122" t="s">
        <v>362</v>
      </c>
      <c r="D122" t="s">
        <v>493</v>
      </c>
      <c r="O122">
        <v>981947821.39999998</v>
      </c>
      <c r="P122">
        <v>1017279724.6</v>
      </c>
      <c r="Q122">
        <v>1050172114.5</v>
      </c>
      <c r="R122">
        <v>1218593242</v>
      </c>
      <c r="S122">
        <v>1451065680</v>
      </c>
      <c r="T122">
        <v>1631097348.4000001</v>
      </c>
      <c r="U122">
        <v>1468081463.3</v>
      </c>
      <c r="V122">
        <v>1698452346.3</v>
      </c>
      <c r="W122">
        <v>1443098518.8</v>
      </c>
      <c r="X122">
        <v>1725519727</v>
      </c>
      <c r="Y122">
        <v>1933418149.2</v>
      </c>
      <c r="Z122">
        <v>2335978753.1999998</v>
      </c>
      <c r="AA122">
        <v>2881171635.5999999</v>
      </c>
      <c r="AB122">
        <v>3493302522.8000002</v>
      </c>
      <c r="AC122">
        <v>3636693776</v>
      </c>
      <c r="AD122">
        <v>4149647658.3000002</v>
      </c>
      <c r="AE122">
        <v>4267673178.0999999</v>
      </c>
      <c r="AF122">
        <v>4771043102.6000004</v>
      </c>
      <c r="AG122">
        <v>4632792353.6000004</v>
      </c>
      <c r="AH122">
        <v>4660246898.8000002</v>
      </c>
      <c r="AI122">
        <v>4784682213.8000002</v>
      </c>
      <c r="AJ122">
        <v>4612479880.3999996</v>
      </c>
      <c r="AK122">
        <v>4631509929.8999996</v>
      </c>
      <c r="AL122">
        <v>4418444373.1999998</v>
      </c>
      <c r="AM122">
        <v>4644306788.5</v>
      </c>
      <c r="AN122">
        <v>4615813407.1999998</v>
      </c>
      <c r="AO122">
        <v>4095187169.9000001</v>
      </c>
      <c r="AP122">
        <v>3818566634.1999998</v>
      </c>
      <c r="AQ122">
        <v>3945356370.5999999</v>
      </c>
      <c r="AR122">
        <v>4027853275.1999998</v>
      </c>
      <c r="AS122">
        <v>4821219734.6000004</v>
      </c>
      <c r="AT122">
        <v>5477990485.6999998</v>
      </c>
      <c r="AU122">
        <v>5601373724.3999996</v>
      </c>
      <c r="AV122">
        <v>5720223401.1999998</v>
      </c>
      <c r="AW122">
        <v>6516794517.1000004</v>
      </c>
      <c r="AX122">
        <v>6590656418.3000002</v>
      </c>
      <c r="AY122">
        <v>8084297793.3000002</v>
      </c>
      <c r="AZ122">
        <v>10523969850.5</v>
      </c>
      <c r="BA122">
        <v>10431004395.1</v>
      </c>
      <c r="BB122">
        <v>11116937810.700001</v>
      </c>
      <c r="BC122">
        <v>14186599700.200001</v>
      </c>
      <c r="BD122">
        <v>14287642491.200001</v>
      </c>
      <c r="BE122">
        <v>14247212086.299999</v>
      </c>
      <c r="BF122">
        <v>12889484163.799999</v>
      </c>
      <c r="BG122">
        <v>14077596820.6</v>
      </c>
      <c r="BH122">
        <v>14055964975.200001</v>
      </c>
      <c r="BI122">
        <v>14006048394.700001</v>
      </c>
      <c r="BJ122">
        <v>14584440916.299999</v>
      </c>
      <c r="BK122">
        <v>17530384500.900002</v>
      </c>
      <c r="BL122">
        <v>14464674889.200001</v>
      </c>
      <c r="BM122">
        <v>14489345389</v>
      </c>
      <c r="BN122">
        <v>16036439681</v>
      </c>
      <c r="BO122">
        <v>15812061001.6</v>
      </c>
      <c r="BP122">
        <v>15395210849.4</v>
      </c>
      <c r="BQ122">
        <v>14836981078.4</v>
      </c>
    </row>
    <row r="123" spans="1:69" x14ac:dyDescent="0.35">
      <c r="A123" t="s">
        <v>467</v>
      </c>
      <c r="B123" t="s">
        <v>250</v>
      </c>
      <c r="C123" t="s">
        <v>362</v>
      </c>
      <c r="D123" t="s">
        <v>493</v>
      </c>
      <c r="O123">
        <v>119092816.3</v>
      </c>
      <c r="P123">
        <v>153348201.59999999</v>
      </c>
      <c r="Q123">
        <v>180464881.19999999</v>
      </c>
      <c r="R123">
        <v>214800116.90000001</v>
      </c>
      <c r="S123">
        <v>270701661.19999999</v>
      </c>
      <c r="T123">
        <v>342812687.69999999</v>
      </c>
      <c r="U123">
        <v>432465516.30000001</v>
      </c>
      <c r="V123">
        <v>796335241.39999998</v>
      </c>
      <c r="W123">
        <v>1111301690.7</v>
      </c>
      <c r="X123">
        <v>1417948646.0999999</v>
      </c>
      <c r="Y123">
        <v>1866844711.7</v>
      </c>
      <c r="Z123">
        <v>2186348488.8000002</v>
      </c>
      <c r="AA123">
        <v>2648430694.4000001</v>
      </c>
      <c r="AB123">
        <v>3021355709.0999999</v>
      </c>
      <c r="AC123">
        <v>3281112514.0999999</v>
      </c>
      <c r="AD123">
        <v>3943825661.1999998</v>
      </c>
      <c r="AE123">
        <v>4831646193.6000004</v>
      </c>
      <c r="AF123">
        <v>6261594432</v>
      </c>
      <c r="AG123">
        <v>5918242632.1000004</v>
      </c>
      <c r="AH123">
        <v>7316087055.3999996</v>
      </c>
      <c r="AI123">
        <v>8332902493.5</v>
      </c>
      <c r="AJ123">
        <v>9700258842.1000004</v>
      </c>
      <c r="AK123">
        <v>7966941070.5</v>
      </c>
      <c r="AL123">
        <v>7630572048.1000004</v>
      </c>
      <c r="AM123">
        <v>7552887476.3999996</v>
      </c>
      <c r="AN123">
        <v>7660567356.1000004</v>
      </c>
      <c r="AO123">
        <v>7379761663.3000002</v>
      </c>
      <c r="AP123">
        <v>7313830926.3000002</v>
      </c>
      <c r="AQ123">
        <v>7560990588.3000002</v>
      </c>
      <c r="AR123">
        <v>8106195546.8999996</v>
      </c>
      <c r="AS123">
        <v>11062638714.5</v>
      </c>
      <c r="AT123">
        <v>11885718015.6</v>
      </c>
      <c r="AU123">
        <v>13015834374.6</v>
      </c>
      <c r="AV123">
        <v>12492626260.299999</v>
      </c>
      <c r="AW123">
        <v>12895197668.9</v>
      </c>
      <c r="AX123">
        <v>12766664121.9</v>
      </c>
      <c r="AY123">
        <v>13856775214.9</v>
      </c>
      <c r="AZ123">
        <v>14862495842.799999</v>
      </c>
      <c r="BA123">
        <v>13818923250.1</v>
      </c>
      <c r="BB123">
        <v>14269772267.4</v>
      </c>
      <c r="BC123">
        <v>16894215040.700001</v>
      </c>
      <c r="BD123">
        <v>17477930466.599998</v>
      </c>
      <c r="BE123">
        <v>18297915662.400002</v>
      </c>
      <c r="BF123">
        <v>23003169930.400002</v>
      </c>
      <c r="BG123">
        <v>24125234088.799999</v>
      </c>
      <c r="BH123">
        <v>25598481274.599998</v>
      </c>
      <c r="BI123">
        <v>27110465347.599998</v>
      </c>
      <c r="BJ123">
        <v>30051818034.599998</v>
      </c>
      <c r="BK123">
        <v>31925591353.799999</v>
      </c>
      <c r="BL123">
        <v>33493554481.700001</v>
      </c>
      <c r="BM123">
        <v>38038131759.599998</v>
      </c>
      <c r="BN123">
        <v>41757187873.099998</v>
      </c>
      <c r="BO123">
        <v>41170195546.699997</v>
      </c>
      <c r="BP123">
        <v>44559287366</v>
      </c>
      <c r="BQ123">
        <v>46966040104.699997</v>
      </c>
    </row>
    <row r="124" spans="1:69" x14ac:dyDescent="0.35">
      <c r="A124" t="s">
        <v>599</v>
      </c>
      <c r="B124" t="s">
        <v>459</v>
      </c>
      <c r="C124" t="s">
        <v>362</v>
      </c>
      <c r="D124" t="s">
        <v>493</v>
      </c>
    </row>
    <row r="125" spans="1:69" x14ac:dyDescent="0.35">
      <c r="A125" t="s">
        <v>67</v>
      </c>
      <c r="B125" t="s">
        <v>233</v>
      </c>
      <c r="C125" t="s">
        <v>362</v>
      </c>
      <c r="D125" t="s">
        <v>493</v>
      </c>
      <c r="AK125">
        <v>34977844.5</v>
      </c>
      <c r="AL125">
        <v>1727754137.5999999</v>
      </c>
      <c r="AM125">
        <v>2789562086.4000001</v>
      </c>
      <c r="AN125">
        <v>3750246013.6999998</v>
      </c>
      <c r="AO125">
        <v>2922220065</v>
      </c>
      <c r="AP125">
        <v>4077953308.9000001</v>
      </c>
      <c r="AQ125">
        <v>6074807301.8000002</v>
      </c>
      <c r="AR125">
        <v>6600356817.1999998</v>
      </c>
      <c r="AS125">
        <v>12890152382.6</v>
      </c>
      <c r="AT125">
        <v>15339983924.1</v>
      </c>
      <c r="AU125">
        <v>18437239277.200001</v>
      </c>
      <c r="AV125">
        <v>23226790596.700001</v>
      </c>
      <c r="AW125">
        <v>33233124794</v>
      </c>
      <c r="AX125">
        <v>43861793757.300003</v>
      </c>
      <c r="AY125">
        <v>74438311787.199997</v>
      </c>
      <c r="AZ125">
        <v>96240591774.699997</v>
      </c>
      <c r="BA125">
        <v>106738597246.10001</v>
      </c>
      <c r="BB125">
        <v>109741327702.3</v>
      </c>
      <c r="BC125">
        <v>119150770510.89999</v>
      </c>
      <c r="BD125">
        <v>124330240756</v>
      </c>
      <c r="BE125">
        <v>135821411914.39999</v>
      </c>
      <c r="BF125">
        <v>151870706097.5</v>
      </c>
      <c r="BG125">
        <v>160226745867.79999</v>
      </c>
      <c r="BH125">
        <v>156146738966.39999</v>
      </c>
      <c r="BI125">
        <v>166979215648.39999</v>
      </c>
      <c r="BJ125">
        <v>163065769204.60001</v>
      </c>
      <c r="BK125">
        <v>161167886073.70001</v>
      </c>
      <c r="BL125">
        <v>170696302166.39999</v>
      </c>
      <c r="BM125">
        <v>172889421872.89999</v>
      </c>
      <c r="BN125">
        <v>173390460628.20001</v>
      </c>
      <c r="BO125">
        <v>169570449960.29999</v>
      </c>
      <c r="BP125">
        <v>171483605932.5</v>
      </c>
      <c r="BQ125">
        <v>167535209792.20001</v>
      </c>
    </row>
    <row r="126" spans="1:69" x14ac:dyDescent="0.35">
      <c r="A126" t="s">
        <v>603</v>
      </c>
      <c r="B126" t="s">
        <v>569</v>
      </c>
      <c r="C126" t="s">
        <v>362</v>
      </c>
      <c r="D126" t="s">
        <v>493</v>
      </c>
      <c r="O126">
        <v>477537524.60000002</v>
      </c>
      <c r="P126">
        <v>497894895.5</v>
      </c>
      <c r="Q126">
        <v>581161178.60000002</v>
      </c>
      <c r="R126">
        <v>844716764.70000005</v>
      </c>
      <c r="S126">
        <v>1152688059</v>
      </c>
      <c r="T126">
        <v>1290219777.3</v>
      </c>
      <c r="U126">
        <v>1493325017.4000001</v>
      </c>
      <c r="V126">
        <v>1658887244</v>
      </c>
      <c r="W126">
        <v>2173728428.1999998</v>
      </c>
      <c r="X126">
        <v>2720995167.6999998</v>
      </c>
      <c r="Y126">
        <v>3386803513.5</v>
      </c>
      <c r="Z126">
        <v>3228165912.0999999</v>
      </c>
      <c r="AA126">
        <v>3367814483.5999999</v>
      </c>
      <c r="AB126">
        <v>3628284465.8000002</v>
      </c>
      <c r="AC126">
        <v>3511509910.1999998</v>
      </c>
      <c r="AD126">
        <v>4181365915.6999998</v>
      </c>
      <c r="AE126">
        <v>4603589573.6000004</v>
      </c>
      <c r="AF126">
        <v>5783681917.1999998</v>
      </c>
      <c r="AG126">
        <v>5809644178.8000002</v>
      </c>
      <c r="AH126">
        <v>5889233567.6000004</v>
      </c>
      <c r="AI126">
        <v>7055158928.8999996</v>
      </c>
      <c r="AJ126">
        <v>7453499318.3999996</v>
      </c>
      <c r="AK126">
        <v>6898195691.8000002</v>
      </c>
      <c r="AL126">
        <v>7111518961.1000004</v>
      </c>
      <c r="AM126">
        <v>7124419830.6999998</v>
      </c>
      <c r="AN126">
        <v>7309198401</v>
      </c>
      <c r="AO126">
        <v>6813721635.1999998</v>
      </c>
      <c r="AP126">
        <v>6465020215.1000004</v>
      </c>
      <c r="AQ126">
        <v>6823161838.5</v>
      </c>
      <c r="AR126">
        <v>6524904617.6999998</v>
      </c>
      <c r="AS126">
        <v>6147150097.6000004</v>
      </c>
      <c r="AT126">
        <v>5495276586</v>
      </c>
      <c r="AU126">
        <v>6095869527.8999996</v>
      </c>
      <c r="AV126">
        <v>6715084650.6999998</v>
      </c>
      <c r="AW126">
        <v>6916593410.5</v>
      </c>
      <c r="AX126">
        <v>6501013208.8999996</v>
      </c>
      <c r="AY126">
        <v>6719657604</v>
      </c>
      <c r="AZ126">
        <v>7576695048.1999998</v>
      </c>
      <c r="BA126">
        <v>7691776548.8999996</v>
      </c>
      <c r="BB126">
        <v>8585721249</v>
      </c>
      <c r="BC126">
        <v>8885235532.8999996</v>
      </c>
      <c r="BD126">
        <v>10042095566.4</v>
      </c>
      <c r="BE126">
        <v>11832175543.200001</v>
      </c>
      <c r="BF126">
        <v>13775500738.700001</v>
      </c>
      <c r="BG126">
        <v>16911742536.700001</v>
      </c>
      <c r="BH126">
        <v>19783760501.700001</v>
      </c>
      <c r="BI126">
        <v>21057671043.299999</v>
      </c>
      <c r="BJ126">
        <v>26951349499.400002</v>
      </c>
      <c r="BK126">
        <v>31433802015.700001</v>
      </c>
      <c r="BL126">
        <v>34970099589.900002</v>
      </c>
      <c r="BM126">
        <v>38038451074.099998</v>
      </c>
      <c r="BN126">
        <v>41219100011.5</v>
      </c>
      <c r="BO126">
        <v>41556299639.800003</v>
      </c>
      <c r="BP126">
        <v>42910026054.199997</v>
      </c>
      <c r="BQ126">
        <v>42886127218.300003</v>
      </c>
    </row>
    <row r="127" spans="1:69" x14ac:dyDescent="0.35">
      <c r="A127" t="s">
        <v>377</v>
      </c>
      <c r="B127" t="s">
        <v>340</v>
      </c>
      <c r="C127" t="s">
        <v>362</v>
      </c>
      <c r="D127" t="s">
        <v>493</v>
      </c>
      <c r="AK127">
        <v>5527412</v>
      </c>
      <c r="AL127">
        <v>292085078.10000002</v>
      </c>
      <c r="AM127">
        <v>446758489.5</v>
      </c>
      <c r="AN127">
        <v>609470825.29999995</v>
      </c>
      <c r="AO127">
        <v>1136989888.4000001</v>
      </c>
      <c r="AP127">
        <v>1340946373.3</v>
      </c>
      <c r="AQ127">
        <v>1505065681</v>
      </c>
      <c r="AR127">
        <v>1852206783.5</v>
      </c>
      <c r="AS127">
        <v>1937816109.8</v>
      </c>
      <c r="AT127">
        <v>1823857616.9000001</v>
      </c>
      <c r="AU127">
        <v>1957506328.4000001</v>
      </c>
      <c r="AV127">
        <v>2148372909.4000001</v>
      </c>
      <c r="AW127">
        <v>2560865743.3000002</v>
      </c>
      <c r="AX127">
        <v>2256599326.4000001</v>
      </c>
      <c r="AY127">
        <v>2596155992.5</v>
      </c>
      <c r="AZ127">
        <v>2878747157.8000002</v>
      </c>
      <c r="BA127">
        <v>3628104689.4000001</v>
      </c>
      <c r="BB127">
        <v>4118812292.0999999</v>
      </c>
      <c r="BC127">
        <v>4118497688</v>
      </c>
      <c r="BD127">
        <v>5493240304.8999996</v>
      </c>
      <c r="BE127">
        <v>6035834629</v>
      </c>
      <c r="BF127">
        <v>6815197401.3000002</v>
      </c>
      <c r="BG127">
        <v>7285152487.5</v>
      </c>
      <c r="BH127">
        <v>7720114040.8000002</v>
      </c>
      <c r="BI127">
        <v>7973634965</v>
      </c>
      <c r="BJ127">
        <v>8129210633.3999996</v>
      </c>
      <c r="BK127">
        <v>8163747921.3000002</v>
      </c>
      <c r="BL127">
        <v>8454325248.6999998</v>
      </c>
      <c r="BM127">
        <v>8675596842.7999992</v>
      </c>
      <c r="BN127">
        <v>9060599704.2999992</v>
      </c>
      <c r="BO127">
        <v>9745837593.3999996</v>
      </c>
      <c r="BP127">
        <v>10168018289.799999</v>
      </c>
      <c r="BQ127">
        <v>11689916629.6</v>
      </c>
    </row>
    <row r="128" spans="1:69" x14ac:dyDescent="0.35">
      <c r="A128" t="s">
        <v>551</v>
      </c>
      <c r="B128" t="s">
        <v>579</v>
      </c>
      <c r="C128" t="s">
        <v>362</v>
      </c>
      <c r="D128" t="s">
        <v>493</v>
      </c>
      <c r="Z128">
        <v>163589000</v>
      </c>
      <c r="AA128">
        <v>163609000</v>
      </c>
      <c r="AB128">
        <v>163629000</v>
      </c>
      <c r="AC128">
        <v>163649000</v>
      </c>
      <c r="AD128">
        <v>163669000</v>
      </c>
      <c r="AE128">
        <v>186616660.80000001</v>
      </c>
      <c r="AF128">
        <v>190280363</v>
      </c>
      <c r="AG128">
        <v>189218800.80000001</v>
      </c>
      <c r="AH128">
        <v>253725961.90000001</v>
      </c>
      <c r="AI128">
        <v>264873693.30000001</v>
      </c>
      <c r="AJ128">
        <v>1698280868.8</v>
      </c>
      <c r="AK128">
        <v>1674463038.5</v>
      </c>
      <c r="AL128">
        <v>1657688468.3</v>
      </c>
      <c r="AM128">
        <v>1743207879.7</v>
      </c>
      <c r="AN128">
        <v>1854015535.5999999</v>
      </c>
      <c r="AO128">
        <v>1916699701</v>
      </c>
      <c r="AP128">
        <v>1931499360</v>
      </c>
      <c r="AQ128">
        <v>2001835074.0999999</v>
      </c>
      <c r="AR128">
        <v>2067765596.3</v>
      </c>
      <c r="AS128">
        <v>2108290127.2</v>
      </c>
      <c r="AT128">
        <v>2178847689.5</v>
      </c>
      <c r="AU128">
        <v>2391328664.1999998</v>
      </c>
      <c r="AV128">
        <v>2681720223.0999999</v>
      </c>
      <c r="AW128">
        <v>2890524251.1999998</v>
      </c>
      <c r="AX128">
        <v>2934613692.6999998</v>
      </c>
      <c r="AY128">
        <v>3033315872.5999999</v>
      </c>
      <c r="AZ128">
        <v>2248479410.3000002</v>
      </c>
      <c r="BA128">
        <v>2648360714.6999998</v>
      </c>
      <c r="BB128">
        <v>3303650951.5</v>
      </c>
      <c r="BC128">
        <v>4010466367.1999998</v>
      </c>
      <c r="BD128">
        <v>4655287804</v>
      </c>
      <c r="BE128">
        <v>6749242998.3000002</v>
      </c>
      <c r="BF128">
        <v>7619793338</v>
      </c>
      <c r="BG128">
        <v>8320161444.1000004</v>
      </c>
      <c r="BH128">
        <v>9438769397.8999996</v>
      </c>
      <c r="BI128">
        <v>10063760399.9</v>
      </c>
      <c r="BJ128">
        <v>11434259074.200001</v>
      </c>
      <c r="BK128">
        <v>13548715757.700001</v>
      </c>
      <c r="BL128">
        <v>15362550605.299999</v>
      </c>
      <c r="BM128">
        <v>17593817433.299999</v>
      </c>
      <c r="BN128">
        <v>20050196516.799999</v>
      </c>
      <c r="BO128">
        <v>22473750966.299999</v>
      </c>
      <c r="BP128">
        <v>22533630678.5</v>
      </c>
      <c r="BQ128">
        <v>20977325204.099998</v>
      </c>
    </row>
    <row r="129" spans="1:69" x14ac:dyDescent="0.35">
      <c r="A129" t="s">
        <v>516</v>
      </c>
      <c r="B129" t="s">
        <v>427</v>
      </c>
      <c r="C129" t="s">
        <v>362</v>
      </c>
      <c r="D129" t="s">
        <v>493</v>
      </c>
    </row>
    <row r="130" spans="1:69" x14ac:dyDescent="0.35">
      <c r="A130" t="s">
        <v>135</v>
      </c>
      <c r="B130" t="s">
        <v>314</v>
      </c>
      <c r="C130" t="s">
        <v>362</v>
      </c>
      <c r="D130" t="s">
        <v>493</v>
      </c>
    </row>
    <row r="131" spans="1:69" x14ac:dyDescent="0.35">
      <c r="A131" t="s">
        <v>160</v>
      </c>
      <c r="B131" t="s">
        <v>545</v>
      </c>
      <c r="C131" t="s">
        <v>362</v>
      </c>
      <c r="D131" t="s">
        <v>493</v>
      </c>
    </row>
    <row r="132" spans="1:69" x14ac:dyDescent="0.35">
      <c r="A132" t="s">
        <v>591</v>
      </c>
      <c r="B132" t="s">
        <v>410</v>
      </c>
      <c r="C132" t="s">
        <v>362</v>
      </c>
      <c r="D132" t="s">
        <v>493</v>
      </c>
    </row>
    <row r="133" spans="1:69" x14ac:dyDescent="0.35">
      <c r="A133" t="s">
        <v>229</v>
      </c>
      <c r="B133" t="s">
        <v>422</v>
      </c>
      <c r="C133" t="s">
        <v>362</v>
      </c>
      <c r="D133" t="s">
        <v>493</v>
      </c>
      <c r="O133">
        <v>28119417206.400002</v>
      </c>
      <c r="P133">
        <v>31505366905.499996</v>
      </c>
      <c r="Q133">
        <v>37878015974.399986</v>
      </c>
      <c r="R133">
        <v>45214915642.399994</v>
      </c>
      <c r="S133">
        <v>59144820834.599998</v>
      </c>
      <c r="T133">
        <v>71394881761.100021</v>
      </c>
      <c r="U133">
        <v>87236980837.600037</v>
      </c>
      <c r="V133">
        <v>111886106613.49998</v>
      </c>
      <c r="W133">
        <v>134313355723.90001</v>
      </c>
      <c r="X133">
        <v>158481203349.60001</v>
      </c>
      <c r="Y133">
        <v>194133536457.50003</v>
      </c>
      <c r="Z133">
        <v>238444647949.79999</v>
      </c>
      <c r="AA133">
        <v>272947047023.29993</v>
      </c>
      <c r="AB133">
        <v>292396104701.00006</v>
      </c>
      <c r="AC133">
        <v>306956060510.79999</v>
      </c>
      <c r="AD133">
        <v>317780952746.79999</v>
      </c>
      <c r="AE133">
        <v>335291432955.69995</v>
      </c>
      <c r="AF133">
        <v>369374435239.09998</v>
      </c>
      <c r="AG133">
        <v>357325904511.40009</v>
      </c>
      <c r="AH133">
        <v>356749267945.60004</v>
      </c>
      <c r="AI133">
        <v>374449801025.89996</v>
      </c>
      <c r="AJ133">
        <v>388534464468</v>
      </c>
      <c r="AK133">
        <v>398164368357.50006</v>
      </c>
      <c r="AL133">
        <v>436079739503.80005</v>
      </c>
      <c r="AM133">
        <v>474906484897.59991</v>
      </c>
      <c r="AN133">
        <v>539841197296.20001</v>
      </c>
      <c r="AO133">
        <v>561606567462.1001</v>
      </c>
      <c r="AP133">
        <v>592379082044.19995</v>
      </c>
      <c r="AQ133">
        <v>674587039242.6001</v>
      </c>
      <c r="AR133">
        <v>706058344607.50012</v>
      </c>
      <c r="AS133">
        <v>693059444517.39978</v>
      </c>
      <c r="AT133">
        <v>709903720009.89978</v>
      </c>
      <c r="AU133">
        <v>701817566339.5</v>
      </c>
      <c r="AV133">
        <v>741763201845.59998</v>
      </c>
      <c r="AW133">
        <v>749571660204</v>
      </c>
      <c r="AX133">
        <v>687518295632.59998</v>
      </c>
      <c r="AY133">
        <v>689628867053.30005</v>
      </c>
      <c r="AZ133">
        <v>778623254417.30005</v>
      </c>
      <c r="BA133">
        <v>819087071755.69995</v>
      </c>
      <c r="BB133">
        <v>852687055116.30005</v>
      </c>
      <c r="BC133">
        <v>1004719109678.2001</v>
      </c>
      <c r="BD133">
        <v>1133577812016.2</v>
      </c>
      <c r="BE133">
        <v>1278305670543.8</v>
      </c>
      <c r="BF133">
        <v>1429948980615.9001</v>
      </c>
      <c r="BG133">
        <v>1579083410793.3999</v>
      </c>
      <c r="BH133">
        <v>1599458307024.5999</v>
      </c>
      <c r="BI133">
        <v>1632941165013.5</v>
      </c>
      <c r="BJ133">
        <v>1728164230366.7002</v>
      </c>
      <c r="BK133">
        <v>1837110559259.3</v>
      </c>
      <c r="BL133">
        <v>1879667214376.2</v>
      </c>
      <c r="BM133">
        <v>1878613082526.3999</v>
      </c>
      <c r="BN133">
        <v>1922148571387.3999</v>
      </c>
      <c r="BO133">
        <v>1942081089449.9001</v>
      </c>
      <c r="BP133">
        <v>2007323728821</v>
      </c>
      <c r="BQ133">
        <v>2000405162743.6001</v>
      </c>
    </row>
    <row r="134" spans="1:69" x14ac:dyDescent="0.35">
      <c r="A134" t="s">
        <v>466</v>
      </c>
      <c r="B134" t="s">
        <v>193</v>
      </c>
      <c r="C134" t="s">
        <v>362</v>
      </c>
      <c r="D134" t="s">
        <v>493</v>
      </c>
      <c r="O134">
        <v>8345623.5999999996</v>
      </c>
      <c r="P134">
        <v>15632737.699999999</v>
      </c>
      <c r="Q134">
        <v>18801080.699999999</v>
      </c>
      <c r="R134">
        <v>32604009.300000001</v>
      </c>
      <c r="S134">
        <v>41034885.700000003</v>
      </c>
      <c r="T134">
        <v>44232232.200000003</v>
      </c>
      <c r="U134">
        <v>108234666.2</v>
      </c>
      <c r="V134">
        <v>172945523.80000001</v>
      </c>
      <c r="W134">
        <v>255345603</v>
      </c>
      <c r="X134">
        <v>310865806.89999998</v>
      </c>
      <c r="Y134">
        <v>352946306.80000001</v>
      </c>
      <c r="Z134">
        <v>392654370.5</v>
      </c>
      <c r="AA134">
        <v>431285785.19999999</v>
      </c>
      <c r="AB134">
        <v>453213661.69999999</v>
      </c>
      <c r="AC134">
        <v>520891119.89999998</v>
      </c>
      <c r="AD134">
        <v>621358350.39999998</v>
      </c>
      <c r="AE134">
        <v>870918488.79999995</v>
      </c>
      <c r="AF134">
        <v>1163997984.0999999</v>
      </c>
      <c r="AG134">
        <v>1328065821.9000001</v>
      </c>
      <c r="AH134">
        <v>1474076595.2</v>
      </c>
      <c r="AI134">
        <v>1768535429.2</v>
      </c>
      <c r="AJ134">
        <v>1873131026.3</v>
      </c>
      <c r="AK134">
        <v>1917265365.3</v>
      </c>
      <c r="AL134">
        <v>1986718378.2</v>
      </c>
      <c r="AM134">
        <v>2071421024.2</v>
      </c>
      <c r="AN134">
        <v>2158263219.6999998</v>
      </c>
      <c r="AO134">
        <v>2258225068.4000001</v>
      </c>
      <c r="AP134">
        <v>2325961460.0999999</v>
      </c>
      <c r="AQ134">
        <v>2459333771.5999999</v>
      </c>
      <c r="AR134">
        <v>2559997882.5</v>
      </c>
      <c r="AS134">
        <v>2531032369.5999999</v>
      </c>
      <c r="AT134">
        <v>2535319431.9000001</v>
      </c>
      <c r="AU134">
        <v>3103689448.4000001</v>
      </c>
      <c r="AV134">
        <v>2441524039.6999998</v>
      </c>
      <c r="AW134">
        <v>2786769334.4000001</v>
      </c>
      <c r="AX134">
        <v>3103123019.1999998</v>
      </c>
      <c r="AY134">
        <v>3616433635.5</v>
      </c>
      <c r="AZ134">
        <v>4794006799.5</v>
      </c>
      <c r="BA134">
        <v>5449173925.5</v>
      </c>
      <c r="BB134">
        <v>6179264568.3999996</v>
      </c>
      <c r="BC134">
        <v>6347798321.3999996</v>
      </c>
      <c r="BD134">
        <v>6873148518.6999998</v>
      </c>
      <c r="BE134">
        <v>7213688301.6000004</v>
      </c>
      <c r="BF134">
        <v>7979679310.8999996</v>
      </c>
      <c r="BG134">
        <v>9429589096.2999992</v>
      </c>
      <c r="BH134">
        <v>11488789693.799999</v>
      </c>
      <c r="BI134">
        <v>13528101907.200001</v>
      </c>
      <c r="BJ134">
        <v>15074137638.9</v>
      </c>
      <c r="BK134">
        <v>15955637285.6</v>
      </c>
      <c r="BL134">
        <v>19038674475.5</v>
      </c>
      <c r="BM134">
        <v>20435014770</v>
      </c>
      <c r="BN134">
        <v>18711936672.299999</v>
      </c>
      <c r="BO134">
        <v>18494671983</v>
      </c>
      <c r="BP134">
        <v>18056503647.599998</v>
      </c>
      <c r="BQ134">
        <v>17836681019.799999</v>
      </c>
    </row>
    <row r="135" spans="1:69" x14ac:dyDescent="0.35">
      <c r="A135" t="s">
        <v>358</v>
      </c>
      <c r="B135" t="s">
        <v>210</v>
      </c>
      <c r="C135" t="s">
        <v>362</v>
      </c>
      <c r="D135" t="s">
        <v>493</v>
      </c>
      <c r="O135">
        <v>64232860.299999997</v>
      </c>
      <c r="P135">
        <v>68095825.700000003</v>
      </c>
      <c r="Q135">
        <v>61559341.899999999</v>
      </c>
      <c r="R135">
        <v>56393232.899999999</v>
      </c>
      <c r="S135">
        <v>49284347.799999997</v>
      </c>
      <c r="T135">
        <v>45669452.399999999</v>
      </c>
      <c r="U135">
        <v>39041939.100000001</v>
      </c>
      <c r="V135">
        <v>53177398</v>
      </c>
      <c r="W135">
        <v>184818036.19999999</v>
      </c>
      <c r="X135">
        <v>277528704.60000002</v>
      </c>
      <c r="Y135">
        <v>510292638.80000001</v>
      </c>
      <c r="Z135">
        <v>621064003.10000002</v>
      </c>
      <c r="AA135">
        <v>725432305.29999995</v>
      </c>
      <c r="AB135">
        <v>920213723.70000005</v>
      </c>
      <c r="AC135">
        <v>866303195.39999998</v>
      </c>
      <c r="AD135">
        <v>876001128.70000005</v>
      </c>
      <c r="AE135">
        <v>866474229.60000002</v>
      </c>
      <c r="AF135">
        <v>963318056.5</v>
      </c>
      <c r="AG135">
        <v>993309402.39999998</v>
      </c>
      <c r="AH135">
        <v>1031127296.3</v>
      </c>
      <c r="AI135">
        <v>1787046993.9000001</v>
      </c>
      <c r="AJ135">
        <v>1562589912.9000001</v>
      </c>
      <c r="AK135">
        <v>1814004853</v>
      </c>
      <c r="AL135">
        <v>1352746947</v>
      </c>
      <c r="AM135">
        <v>2126701899.5999999</v>
      </c>
      <c r="AN135">
        <v>2975570831.5999999</v>
      </c>
      <c r="AO135">
        <v>4019242812.6999998</v>
      </c>
      <c r="AP135">
        <v>5093689592.1000004</v>
      </c>
      <c r="AQ135">
        <v>6973464912.6999998</v>
      </c>
      <c r="AR135">
        <v>8493083054.6999998</v>
      </c>
      <c r="AS135">
        <v>10075046219.9</v>
      </c>
      <c r="AT135">
        <v>13544184075.4</v>
      </c>
      <c r="AU135">
        <v>17509147494.299999</v>
      </c>
      <c r="AV135">
        <v>19045277128.200001</v>
      </c>
      <c r="AW135">
        <v>22804031551</v>
      </c>
      <c r="AX135">
        <v>22787014776.299999</v>
      </c>
      <c r="AY135">
        <v>24225274178.299999</v>
      </c>
      <c r="AZ135">
        <v>25926510953</v>
      </c>
      <c r="BA135">
        <v>44012127490.199997</v>
      </c>
      <c r="BB135">
        <v>46139751147.199997</v>
      </c>
      <c r="BC135">
        <v>47828988866.099998</v>
      </c>
      <c r="BD135">
        <v>49669741104.300003</v>
      </c>
      <c r="BE135">
        <v>55735120974.300003</v>
      </c>
      <c r="BF135">
        <v>62119370082.400002</v>
      </c>
      <c r="BG135">
        <v>64468852046.199997</v>
      </c>
      <c r="BH135">
        <v>68232175837.699997</v>
      </c>
      <c r="BI135">
        <v>69523800483.899994</v>
      </c>
      <c r="BJ135">
        <v>74188954317.300003</v>
      </c>
      <c r="BK135">
        <v>79671964766.899994</v>
      </c>
      <c r="BL135">
        <v>73914514299.199997</v>
      </c>
      <c r="BM135">
        <v>68899942020.600006</v>
      </c>
      <c r="BN135">
        <v>66924113512.199997</v>
      </c>
      <c r="BO135">
        <v>67100895977.599998</v>
      </c>
      <c r="BP135">
        <v>66329049009.199997</v>
      </c>
      <c r="BQ135">
        <v>67389006707.199997</v>
      </c>
    </row>
    <row r="136" spans="1:69" x14ac:dyDescent="0.35">
      <c r="A136" t="s">
        <v>196</v>
      </c>
      <c r="B136" t="s">
        <v>540</v>
      </c>
      <c r="C136" t="s">
        <v>362</v>
      </c>
      <c r="D136" t="s">
        <v>493</v>
      </c>
      <c r="O136">
        <v>162259998.90000001</v>
      </c>
      <c r="P136">
        <v>162113449</v>
      </c>
      <c r="Q136">
        <v>159380853.69999999</v>
      </c>
      <c r="R136">
        <v>159153116.09999999</v>
      </c>
      <c r="S136">
        <v>161975660.09999999</v>
      </c>
      <c r="T136">
        <v>178684388.90000001</v>
      </c>
      <c r="U136">
        <v>208531898.59999999</v>
      </c>
      <c r="V136">
        <v>292114656.30000001</v>
      </c>
      <c r="W136">
        <v>443069267.30000001</v>
      </c>
      <c r="X136">
        <v>596483370.20000005</v>
      </c>
      <c r="Y136">
        <v>685684429.79999995</v>
      </c>
      <c r="Z136">
        <v>813444164</v>
      </c>
      <c r="AA136">
        <v>902588449.89999998</v>
      </c>
      <c r="AB136">
        <v>1006557608.5</v>
      </c>
      <c r="AC136">
        <v>1080098563.2</v>
      </c>
      <c r="AD136">
        <v>1250201170</v>
      </c>
      <c r="AE136">
        <v>1549811064.4000001</v>
      </c>
      <c r="AF136">
        <v>1847224451.5999999</v>
      </c>
      <c r="AG136">
        <v>1817042772.2</v>
      </c>
      <c r="AH136">
        <v>1877358632.2</v>
      </c>
      <c r="AI136">
        <v>2062086288.0999999</v>
      </c>
      <c r="AJ136">
        <v>2187238147</v>
      </c>
      <c r="AK136">
        <v>2176746977.0999999</v>
      </c>
      <c r="AL136">
        <v>2237489926.5999999</v>
      </c>
      <c r="AM136">
        <v>2367418669.0999999</v>
      </c>
      <c r="AN136">
        <v>2489150432.9000001</v>
      </c>
      <c r="AO136">
        <v>2423875945.0999999</v>
      </c>
      <c r="AP136">
        <v>2406199569.1999998</v>
      </c>
      <c r="AQ136">
        <v>2561185367.5999999</v>
      </c>
      <c r="AR136">
        <v>2588479114.5</v>
      </c>
      <c r="AS136">
        <v>2836274327.3000002</v>
      </c>
      <c r="AT136">
        <v>3035970627.4000001</v>
      </c>
      <c r="AU136">
        <v>3293838967</v>
      </c>
      <c r="AV136">
        <v>3632799616.1999998</v>
      </c>
      <c r="AW136">
        <v>3862478049.5</v>
      </c>
      <c r="AX136">
        <v>3950580336.9000001</v>
      </c>
      <c r="AY136">
        <v>4191788049.0999999</v>
      </c>
      <c r="AZ136">
        <v>3777967270.1999998</v>
      </c>
      <c r="BA136">
        <v>3160827104.0999999</v>
      </c>
      <c r="BB136">
        <v>1850279323.4000001</v>
      </c>
      <c r="BC136">
        <v>418851731</v>
      </c>
      <c r="BD136">
        <v>448515402.80000001</v>
      </c>
      <c r="BE136">
        <v>487153043.10000002</v>
      </c>
      <c r="BF136">
        <v>531077326.60000002</v>
      </c>
      <c r="BG136">
        <v>681673142.70000005</v>
      </c>
      <c r="BH136">
        <v>837371678.39999998</v>
      </c>
      <c r="BI136">
        <v>949982627.20000005</v>
      </c>
      <c r="BJ136">
        <v>1118118332.9000001</v>
      </c>
      <c r="BK136">
        <v>1157314862.2</v>
      </c>
      <c r="BL136">
        <v>1266409762.3</v>
      </c>
      <c r="BM136">
        <v>1459851173.9000001</v>
      </c>
      <c r="BN136">
        <v>1848155520.0999999</v>
      </c>
      <c r="BO136">
        <v>1921937046.9000001</v>
      </c>
      <c r="BP136">
        <v>2105650856.5</v>
      </c>
      <c r="BQ136">
        <v>2234742478.9000001</v>
      </c>
    </row>
    <row r="137" spans="1:69" x14ac:dyDescent="0.35">
      <c r="A137" t="s">
        <v>449</v>
      </c>
      <c r="B137" t="s">
        <v>544</v>
      </c>
      <c r="C137" t="s">
        <v>362</v>
      </c>
      <c r="D137" t="s">
        <v>493</v>
      </c>
    </row>
    <row r="138" spans="1:69" x14ac:dyDescent="0.35">
      <c r="A138" t="s">
        <v>415</v>
      </c>
      <c r="B138" t="s">
        <v>306</v>
      </c>
      <c r="C138" t="s">
        <v>362</v>
      </c>
      <c r="D138" t="s">
        <v>493</v>
      </c>
      <c r="Z138">
        <v>15516307.699999999</v>
      </c>
      <c r="AA138">
        <v>17122202.699999999</v>
      </c>
      <c r="AB138">
        <v>18907707.600000001</v>
      </c>
      <c r="AC138">
        <v>20290497.800000001</v>
      </c>
      <c r="AD138">
        <v>23113174.199999999</v>
      </c>
      <c r="AE138">
        <v>31803855.300000001</v>
      </c>
      <c r="AF138">
        <v>46728176</v>
      </c>
      <c r="AG138">
        <v>57458862.100000001</v>
      </c>
      <c r="AH138">
        <v>65679760.200000003</v>
      </c>
      <c r="AI138">
        <v>79175705</v>
      </c>
      <c r="AJ138">
        <v>82343009.700000003</v>
      </c>
      <c r="AK138">
        <v>97981226.599999994</v>
      </c>
      <c r="AL138">
        <v>100852543.2</v>
      </c>
      <c r="AM138">
        <v>113598527.8</v>
      </c>
      <c r="AN138">
        <v>128275618.8</v>
      </c>
      <c r="AO138">
        <v>141571045.90000001</v>
      </c>
      <c r="AP138">
        <v>152941378.90000001</v>
      </c>
      <c r="AQ138">
        <v>184359352.19999999</v>
      </c>
      <c r="AR138">
        <v>188238652.5</v>
      </c>
      <c r="AS138">
        <v>227013639.5</v>
      </c>
      <c r="AT138">
        <v>258544438.30000001</v>
      </c>
      <c r="AU138">
        <v>293240194.19999999</v>
      </c>
      <c r="AV138">
        <v>338775693.69999999</v>
      </c>
      <c r="AW138">
        <v>362713778.39999998</v>
      </c>
      <c r="AX138">
        <v>422787032.19999999</v>
      </c>
      <c r="AY138">
        <v>375696061</v>
      </c>
      <c r="AZ138">
        <v>481016076.89999998</v>
      </c>
      <c r="BA138">
        <v>837871627.39999998</v>
      </c>
      <c r="BB138">
        <v>438816167</v>
      </c>
      <c r="BC138">
        <v>584783262.70000005</v>
      </c>
      <c r="BD138">
        <v>455833314.80000001</v>
      </c>
      <c r="BE138">
        <v>432702877.69999999</v>
      </c>
      <c r="BF138">
        <v>479336037.39999998</v>
      </c>
      <c r="BG138">
        <v>537109187.70000005</v>
      </c>
      <c r="BH138">
        <v>529980934.5</v>
      </c>
      <c r="BI138">
        <v>543662556.60000002</v>
      </c>
      <c r="BJ138">
        <v>621896095.39999998</v>
      </c>
      <c r="BK138">
        <v>615495530</v>
      </c>
      <c r="BL138">
        <v>638927013.20000005</v>
      </c>
      <c r="BM138">
        <v>733837563.5</v>
      </c>
      <c r="BN138">
        <v>892737914.89999998</v>
      </c>
      <c r="BO138">
        <v>909317236.5</v>
      </c>
      <c r="BP138">
        <v>1086264196.2</v>
      </c>
      <c r="BQ138">
        <v>1193706001.5</v>
      </c>
    </row>
    <row r="139" spans="1:69" x14ac:dyDescent="0.35">
      <c r="A139" t="s">
        <v>496</v>
      </c>
      <c r="B139" t="s">
        <v>144</v>
      </c>
      <c r="C139" t="s">
        <v>362</v>
      </c>
      <c r="D139" t="s">
        <v>493</v>
      </c>
    </row>
    <row r="140" spans="1:69" x14ac:dyDescent="0.35">
      <c r="A140" t="s">
        <v>226</v>
      </c>
      <c r="B140" t="s">
        <v>481</v>
      </c>
      <c r="C140" t="s">
        <v>362</v>
      </c>
      <c r="D140" t="s">
        <v>493</v>
      </c>
    </row>
    <row r="141" spans="1:69" x14ac:dyDescent="0.35">
      <c r="A141" t="s">
        <v>529</v>
      </c>
      <c r="B141" t="s">
        <v>56</v>
      </c>
      <c r="C141" t="s">
        <v>362</v>
      </c>
      <c r="D141" t="s">
        <v>493</v>
      </c>
      <c r="O141">
        <v>2742780162.4000006</v>
      </c>
      <c r="P141">
        <v>3098480157.7000008</v>
      </c>
      <c r="Q141">
        <v>3666868898.3000002</v>
      </c>
      <c r="R141">
        <v>4624686562.9000006</v>
      </c>
      <c r="S141">
        <v>6523306562.1000013</v>
      </c>
      <c r="T141">
        <v>8144887220.000001</v>
      </c>
      <c r="U141">
        <v>9826642853.0000019</v>
      </c>
      <c r="V141">
        <v>13713712093.200001</v>
      </c>
      <c r="W141">
        <v>16912079849.1</v>
      </c>
      <c r="X141">
        <v>20069356462.600002</v>
      </c>
      <c r="Y141">
        <v>24859698027.100002</v>
      </c>
      <c r="Z141">
        <v>30085582926.700001</v>
      </c>
      <c r="AA141">
        <v>35201371305.700005</v>
      </c>
      <c r="AB141">
        <v>40229082413.999992</v>
      </c>
      <c r="AC141">
        <v>43261121222.399994</v>
      </c>
      <c r="AD141">
        <v>51856750019.900002</v>
      </c>
      <c r="AE141">
        <v>60205917067.199989</v>
      </c>
      <c r="AF141">
        <v>72513054404.199997</v>
      </c>
      <c r="AG141">
        <v>74831354527.400009</v>
      </c>
      <c r="AH141">
        <v>79028245803.299988</v>
      </c>
      <c r="AI141">
        <v>85510684686.199997</v>
      </c>
      <c r="AJ141">
        <v>90527440829.600006</v>
      </c>
      <c r="AK141">
        <v>92748606142.5</v>
      </c>
      <c r="AL141">
        <v>94998126918.5</v>
      </c>
      <c r="AM141">
        <v>101802366277.09998</v>
      </c>
      <c r="AN141">
        <v>106127998915.60002</v>
      </c>
      <c r="AO141">
        <v>105189117786.39999</v>
      </c>
      <c r="AP141">
        <v>101140031363.8</v>
      </c>
      <c r="AQ141">
        <v>108851435394.8</v>
      </c>
      <c r="AR141">
        <v>101325009264.09999</v>
      </c>
      <c r="AS141">
        <v>98925796156.499969</v>
      </c>
      <c r="AT141">
        <v>94291759722.5</v>
      </c>
      <c r="AU141">
        <v>97418252337.599991</v>
      </c>
      <c r="AV141">
        <v>103913695078.10001</v>
      </c>
      <c r="AW141">
        <v>105543613436.60001</v>
      </c>
      <c r="AX141">
        <v>88845136138.099976</v>
      </c>
      <c r="AY141">
        <v>73967898779.300003</v>
      </c>
      <c r="AZ141">
        <v>81108307295.200012</v>
      </c>
      <c r="BA141">
        <v>83240476778.899994</v>
      </c>
      <c r="BB141">
        <v>90817100235.599991</v>
      </c>
      <c r="BC141">
        <v>89438998921.699997</v>
      </c>
      <c r="BD141">
        <v>92928593135.399979</v>
      </c>
      <c r="BE141">
        <v>105728035550.5</v>
      </c>
      <c r="BF141">
        <v>127290394596.50002</v>
      </c>
      <c r="BG141">
        <v>138974784740.79999</v>
      </c>
      <c r="BH141">
        <v>149144513012.20004</v>
      </c>
      <c r="BI141">
        <v>156005122665.90002</v>
      </c>
      <c r="BJ141">
        <v>171402561069</v>
      </c>
      <c r="BK141">
        <v>182793025409.69998</v>
      </c>
      <c r="BL141">
        <v>192829211150.30008</v>
      </c>
      <c r="BM141">
        <v>212451896542.99994</v>
      </c>
      <c r="BN141">
        <v>227164994097.59998</v>
      </c>
      <c r="BO141">
        <v>227335219422.60007</v>
      </c>
      <c r="BP141">
        <v>235474196287.30002</v>
      </c>
      <c r="BQ141">
        <v>242428286102.39996</v>
      </c>
    </row>
    <row r="142" spans="1:69" x14ac:dyDescent="0.35">
      <c r="A142" t="s">
        <v>505</v>
      </c>
      <c r="B142" t="s">
        <v>285</v>
      </c>
      <c r="C142" t="s">
        <v>362</v>
      </c>
      <c r="D142" t="s">
        <v>493</v>
      </c>
    </row>
    <row r="143" spans="1:69" x14ac:dyDescent="0.35">
      <c r="A143" t="s">
        <v>3</v>
      </c>
      <c r="B143" t="s">
        <v>561</v>
      </c>
      <c r="C143" t="s">
        <v>362</v>
      </c>
      <c r="D143" t="s">
        <v>493</v>
      </c>
      <c r="O143">
        <v>435678442.39999998</v>
      </c>
      <c r="P143">
        <v>520236827.60000002</v>
      </c>
      <c r="Q143">
        <v>554360219.29999995</v>
      </c>
      <c r="R143">
        <v>631606118.89999998</v>
      </c>
      <c r="S143">
        <v>783763828</v>
      </c>
      <c r="T143">
        <v>817840849.60000002</v>
      </c>
      <c r="U143">
        <v>941714519.79999995</v>
      </c>
      <c r="V143">
        <v>1141630267.8</v>
      </c>
      <c r="W143">
        <v>1381702821.7</v>
      </c>
      <c r="X143">
        <v>1562193769.5</v>
      </c>
      <c r="Y143">
        <v>1849029664.4000001</v>
      </c>
      <c r="Z143">
        <v>2241837854.3000002</v>
      </c>
      <c r="AA143">
        <v>2632029310.1999998</v>
      </c>
      <c r="AB143">
        <v>2890238573.3000002</v>
      </c>
      <c r="AC143">
        <v>2998355044.3000002</v>
      </c>
      <c r="AD143">
        <v>3544639145.8000002</v>
      </c>
      <c r="AE143">
        <v>4086689689.8000002</v>
      </c>
      <c r="AF143">
        <v>4754428931.3000002</v>
      </c>
      <c r="AG143">
        <v>5209633062.8000002</v>
      </c>
      <c r="AH143">
        <v>5185722277.5</v>
      </c>
      <c r="AI143">
        <v>5867509111.8000002</v>
      </c>
      <c r="AJ143">
        <v>6580740209.6000004</v>
      </c>
      <c r="AK143">
        <v>6476089777.8000002</v>
      </c>
      <c r="AL143">
        <v>6902629411</v>
      </c>
      <c r="AM143">
        <v>7960615109.6000004</v>
      </c>
      <c r="AN143">
        <v>8395502196.8999996</v>
      </c>
      <c r="AO143">
        <v>8298763054.8999996</v>
      </c>
      <c r="AP143">
        <v>8106316372.3999996</v>
      </c>
      <c r="AQ143">
        <v>9057333356.1000004</v>
      </c>
      <c r="AR143">
        <v>9943050525</v>
      </c>
      <c r="AS143">
        <v>9249848286.3999996</v>
      </c>
      <c r="AT143">
        <v>8952124828.1000004</v>
      </c>
      <c r="AU143">
        <v>10122942033.799999</v>
      </c>
      <c r="AV143">
        <v>10725993550</v>
      </c>
      <c r="AW143">
        <v>11600420988.799999</v>
      </c>
      <c r="AX143">
        <v>11300134209.5</v>
      </c>
      <c r="AY143">
        <v>11853449200.4</v>
      </c>
      <c r="AZ143">
        <v>14161321567.6</v>
      </c>
      <c r="BA143">
        <v>16320821885.1</v>
      </c>
      <c r="BB143">
        <v>19504201128</v>
      </c>
      <c r="BC143">
        <v>21684210688.5</v>
      </c>
      <c r="BD143">
        <v>25795379781.099998</v>
      </c>
      <c r="BE143">
        <v>35735908567.5</v>
      </c>
      <c r="BF143">
        <v>39316198514.400002</v>
      </c>
      <c r="BG143">
        <v>42264361571.599998</v>
      </c>
      <c r="BH143">
        <v>43926833891.099998</v>
      </c>
      <c r="BI143">
        <v>46662738616.199997</v>
      </c>
      <c r="BJ143">
        <v>50766665978.699997</v>
      </c>
      <c r="BK143">
        <v>52920652662.199997</v>
      </c>
      <c r="BL143">
        <v>56118735647</v>
      </c>
      <c r="BM143">
        <v>56875086630.199997</v>
      </c>
      <c r="BN143">
        <v>58741883598.099998</v>
      </c>
      <c r="BO143">
        <v>58718751204.5</v>
      </c>
      <c r="BP143">
        <v>60544707010.400002</v>
      </c>
      <c r="BQ143">
        <v>56827528393.800003</v>
      </c>
    </row>
    <row r="144" spans="1:69" x14ac:dyDescent="0.35">
      <c r="A144" t="s">
        <v>299</v>
      </c>
      <c r="B144" t="s">
        <v>179</v>
      </c>
      <c r="C144" t="s">
        <v>362</v>
      </c>
      <c r="D144" t="s">
        <v>493</v>
      </c>
      <c r="O144">
        <v>23960166149.599998</v>
      </c>
      <c r="P144">
        <v>27849484491.199993</v>
      </c>
      <c r="Q144">
        <v>30417320216.599995</v>
      </c>
      <c r="R144">
        <v>35265600877.600014</v>
      </c>
      <c r="S144">
        <v>41603725118.200005</v>
      </c>
      <c r="T144">
        <v>50649711750.100006</v>
      </c>
      <c r="U144">
        <v>59049574393.200012</v>
      </c>
      <c r="V144">
        <v>79692179282.399979</v>
      </c>
      <c r="W144">
        <v>96416984391.099991</v>
      </c>
      <c r="X144">
        <v>111592347598.29999</v>
      </c>
      <c r="Y144">
        <v>137661746471.70001</v>
      </c>
      <c r="Z144">
        <v>155851678890.40009</v>
      </c>
      <c r="AA144">
        <v>179692630326.20004</v>
      </c>
      <c r="AB144">
        <v>199257659351.59995</v>
      </c>
      <c r="AC144">
        <v>207842529831.70001</v>
      </c>
      <c r="AD144">
        <v>239174646717.89999</v>
      </c>
      <c r="AE144">
        <v>267960825837.39996</v>
      </c>
      <c r="AF144">
        <v>313151170970.1001</v>
      </c>
      <c r="AG144">
        <v>323369953636.79999</v>
      </c>
      <c r="AH144">
        <v>365249692320.59998</v>
      </c>
      <c r="AI144">
        <v>392839670182.5</v>
      </c>
      <c r="AJ144">
        <v>403609448552.29993</v>
      </c>
      <c r="AK144">
        <v>407657180044.59998</v>
      </c>
      <c r="AL144">
        <v>419980351755.30005</v>
      </c>
      <c r="AM144">
        <v>449129375302.30005</v>
      </c>
      <c r="AN144">
        <v>458660092730.60016</v>
      </c>
      <c r="AO144">
        <v>455744730694.8999</v>
      </c>
      <c r="AP144">
        <v>448886990603.29999</v>
      </c>
      <c r="AQ144">
        <v>471869079959.90009</v>
      </c>
      <c r="AR144">
        <v>483301285885.29993</v>
      </c>
      <c r="AS144">
        <v>470233612669.50012</v>
      </c>
      <c r="AT144">
        <v>465582193510.59998</v>
      </c>
      <c r="AU144">
        <v>496640411633.5</v>
      </c>
      <c r="AV144">
        <v>536259288427.60004</v>
      </c>
      <c r="AW144">
        <v>557733599656.00012</v>
      </c>
      <c r="AX144">
        <v>527407118164.70001</v>
      </c>
      <c r="AY144">
        <v>541735448626.59998</v>
      </c>
      <c r="AZ144">
        <v>621808640829.30017</v>
      </c>
      <c r="BA144">
        <v>689341528610.1001</v>
      </c>
      <c r="BB144">
        <v>767517101216.8999</v>
      </c>
      <c r="BC144">
        <v>866543095073.5</v>
      </c>
      <c r="BD144">
        <v>965193797515.29993</v>
      </c>
      <c r="BE144">
        <v>1085382962150.5004</v>
      </c>
      <c r="BF144">
        <v>1198869208309.0005</v>
      </c>
      <c r="BG144">
        <v>1280177622848.5</v>
      </c>
      <c r="BH144">
        <v>1359438805882.5</v>
      </c>
      <c r="BI144">
        <v>1407130685021.1001</v>
      </c>
      <c r="BJ144">
        <v>1599951991084.5002</v>
      </c>
      <c r="BK144">
        <v>1689639591892.8997</v>
      </c>
      <c r="BL144">
        <v>1830249388034.5002</v>
      </c>
      <c r="BM144">
        <v>1964382367445.7</v>
      </c>
      <c r="BN144">
        <v>2125909500494.1003</v>
      </c>
      <c r="BO144">
        <v>2175568780504.7004</v>
      </c>
      <c r="BP144">
        <v>2262884453479.0996</v>
      </c>
      <c r="BQ144">
        <v>2337433932367.3008</v>
      </c>
    </row>
    <row r="145" spans="1:69" x14ac:dyDescent="0.35">
      <c r="A145" t="s">
        <v>264</v>
      </c>
      <c r="B145" t="s">
        <v>245</v>
      </c>
      <c r="C145" t="s">
        <v>362</v>
      </c>
      <c r="D145" t="s">
        <v>493</v>
      </c>
      <c r="O145">
        <v>64269166756.800003</v>
      </c>
      <c r="P145">
        <v>74872554416.800003</v>
      </c>
      <c r="Q145">
        <v>86970746455.500015</v>
      </c>
      <c r="R145">
        <v>104570830386.09996</v>
      </c>
      <c r="S145">
        <v>130300694423.79999</v>
      </c>
      <c r="T145">
        <v>158482363412.29999</v>
      </c>
      <c r="U145">
        <v>191501410583.79996</v>
      </c>
      <c r="V145">
        <v>255001661025.49985</v>
      </c>
      <c r="W145">
        <v>311405915988.79999</v>
      </c>
      <c r="X145">
        <v>364538682888.10004</v>
      </c>
      <c r="Y145">
        <v>447402570160.90027</v>
      </c>
      <c r="Z145">
        <v>520079877386.5</v>
      </c>
      <c r="AA145">
        <v>592354862253.60022</v>
      </c>
      <c r="AB145">
        <v>640852786235.39966</v>
      </c>
      <c r="AC145">
        <v>669291494497.5</v>
      </c>
      <c r="AD145">
        <v>740652864564.00012</v>
      </c>
      <c r="AE145">
        <v>818687088179.40015</v>
      </c>
      <c r="AF145">
        <v>943592279486.20007</v>
      </c>
      <c r="AG145">
        <v>954674076158.69995</v>
      </c>
      <c r="AH145">
        <v>1010262153293.0002</v>
      </c>
      <c r="AI145">
        <v>1096926956105.4001</v>
      </c>
      <c r="AJ145">
        <v>1155399290862.7</v>
      </c>
      <c r="AK145">
        <v>1205502078457.1001</v>
      </c>
      <c r="AL145">
        <v>1311905221395.9001</v>
      </c>
      <c r="AM145">
        <v>1450069794915.5005</v>
      </c>
      <c r="AN145">
        <v>1617317718358.8992</v>
      </c>
      <c r="AO145">
        <v>1671718017831.8997</v>
      </c>
      <c r="AP145">
        <v>1720002324498.1011</v>
      </c>
      <c r="AQ145">
        <v>1854974099165.0999</v>
      </c>
      <c r="AR145">
        <v>1891547638585.199</v>
      </c>
      <c r="AS145">
        <v>1852919747844.3008</v>
      </c>
      <c r="AT145">
        <v>1879976553077.1003</v>
      </c>
      <c r="AU145">
        <v>1934315170549.9004</v>
      </c>
      <c r="AV145">
        <v>2084874357238.3994</v>
      </c>
      <c r="AW145">
        <v>2249193363275.8003</v>
      </c>
      <c r="AX145">
        <v>2200924586050.5996</v>
      </c>
      <c r="AY145">
        <v>2340895562591.7002</v>
      </c>
      <c r="AZ145">
        <v>2721758865484.3999</v>
      </c>
      <c r="BA145">
        <v>2904030422213.2007</v>
      </c>
      <c r="BB145">
        <v>3162456481122.5991</v>
      </c>
      <c r="BC145">
        <v>3856349522731.8999</v>
      </c>
      <c r="BD145">
        <v>4477070813970.8027</v>
      </c>
      <c r="BE145">
        <v>4988040104183.1025</v>
      </c>
      <c r="BF145">
        <v>5708085329156.8008</v>
      </c>
      <c r="BG145">
        <v>6272108236867.7998</v>
      </c>
      <c r="BH145">
        <v>5873761686253.5</v>
      </c>
      <c r="BI145">
        <v>6093442563146.0029</v>
      </c>
      <c r="BJ145">
        <v>6854135418506.5977</v>
      </c>
      <c r="BK145">
        <v>7343552725980.1973</v>
      </c>
      <c r="BL145">
        <v>7724703477056.7002</v>
      </c>
      <c r="BM145">
        <v>8145959967189.0996</v>
      </c>
      <c r="BN145">
        <v>8792735337737.4004</v>
      </c>
      <c r="BO145">
        <v>8679019491708.2021</v>
      </c>
      <c r="BP145">
        <v>8834907426124.6973</v>
      </c>
      <c r="BQ145">
        <v>8935869363761.7012</v>
      </c>
    </row>
    <row r="146" spans="1:69" x14ac:dyDescent="0.35">
      <c r="A146" t="s">
        <v>404</v>
      </c>
      <c r="B146" t="s">
        <v>205</v>
      </c>
      <c r="C146" t="s">
        <v>362</v>
      </c>
      <c r="D146" t="s">
        <v>493</v>
      </c>
      <c r="O146">
        <v>8122200</v>
      </c>
      <c r="P146">
        <v>8628403.5</v>
      </c>
      <c r="Q146">
        <v>9486440.3000000007</v>
      </c>
      <c r="R146">
        <v>8260480.2999999998</v>
      </c>
      <c r="S146">
        <v>10154661</v>
      </c>
      <c r="T146">
        <v>14085560.5</v>
      </c>
      <c r="U146">
        <v>16201998.199999999</v>
      </c>
      <c r="V146">
        <v>24589678.100000001</v>
      </c>
      <c r="W146">
        <v>34003373.299999997</v>
      </c>
      <c r="X146">
        <v>53128547.799999997</v>
      </c>
      <c r="Y146">
        <v>71941751</v>
      </c>
      <c r="Z146">
        <v>84408003</v>
      </c>
      <c r="AA146">
        <v>122070133.2</v>
      </c>
      <c r="AB146">
        <v>128672831.90000001</v>
      </c>
      <c r="AC146">
        <v>138033418.69999999</v>
      </c>
      <c r="AD146">
        <v>175286619.09999999</v>
      </c>
      <c r="AE146">
        <v>197621649.80000001</v>
      </c>
      <c r="AF146">
        <v>258625573.59999999</v>
      </c>
      <c r="AG146">
        <v>287087570.19999999</v>
      </c>
      <c r="AH146">
        <v>328147754.19999999</v>
      </c>
      <c r="AI146">
        <v>395586122.39999998</v>
      </c>
      <c r="AJ146">
        <v>447387652.89999998</v>
      </c>
      <c r="AK146">
        <v>494402014.60000002</v>
      </c>
      <c r="AL146">
        <v>542372022.5</v>
      </c>
      <c r="AM146">
        <v>622553685.70000005</v>
      </c>
      <c r="AN146">
        <v>684357708.70000005</v>
      </c>
      <c r="AO146">
        <v>701229527.20000005</v>
      </c>
      <c r="AP146">
        <v>672950604</v>
      </c>
      <c r="AQ146">
        <v>688207826.70000005</v>
      </c>
      <c r="AR146">
        <v>687190387.89999998</v>
      </c>
      <c r="AS146">
        <v>769689608.60000002</v>
      </c>
      <c r="AT146">
        <v>684403514</v>
      </c>
      <c r="AU146">
        <v>712577931.29999995</v>
      </c>
      <c r="AV146">
        <v>705761420.20000005</v>
      </c>
      <c r="AW146">
        <v>773436561.20000005</v>
      </c>
      <c r="AX146">
        <v>666293758.5</v>
      </c>
      <c r="AY146">
        <v>657437143.10000002</v>
      </c>
      <c r="AZ146">
        <v>685484471.5</v>
      </c>
      <c r="BA146">
        <v>700047301.79999995</v>
      </c>
      <c r="BB146">
        <v>766529460.10000002</v>
      </c>
      <c r="BC146">
        <v>788060174.79999995</v>
      </c>
      <c r="BD146">
        <v>813623741.39999998</v>
      </c>
      <c r="BE146">
        <v>904228982.10000002</v>
      </c>
      <c r="BF146">
        <v>925015906.5</v>
      </c>
      <c r="BG146">
        <v>912086478.39999998</v>
      </c>
      <c r="BH146">
        <v>952588686.10000002</v>
      </c>
      <c r="BI146">
        <v>1358062674.5</v>
      </c>
      <c r="BJ146">
        <v>1504173109.2</v>
      </c>
      <c r="BK146">
        <v>1463408840.9000001</v>
      </c>
      <c r="BL146">
        <v>1583480653</v>
      </c>
      <c r="BM146">
        <v>1737618388.9000001</v>
      </c>
      <c r="BN146">
        <v>1833103211.3</v>
      </c>
      <c r="BO146">
        <v>1809413920</v>
      </c>
      <c r="BP146">
        <v>1775614027.3</v>
      </c>
      <c r="BQ146">
        <v>1773147342.7</v>
      </c>
    </row>
    <row r="147" spans="1:69" x14ac:dyDescent="0.35">
      <c r="A147" t="s">
        <v>333</v>
      </c>
      <c r="B147" t="s">
        <v>589</v>
      </c>
      <c r="C147" t="s">
        <v>362</v>
      </c>
      <c r="D147" t="s">
        <v>493</v>
      </c>
    </row>
    <row r="148" spans="1:69" x14ac:dyDescent="0.35">
      <c r="A148" t="s">
        <v>341</v>
      </c>
      <c r="B148" t="s">
        <v>91</v>
      </c>
      <c r="C148" t="s">
        <v>362</v>
      </c>
      <c r="D148" t="s">
        <v>493</v>
      </c>
    </row>
    <row r="149" spans="1:69" x14ac:dyDescent="0.35">
      <c r="A149" t="s">
        <v>240</v>
      </c>
      <c r="B149" t="s">
        <v>441</v>
      </c>
      <c r="C149" t="s">
        <v>362</v>
      </c>
      <c r="D149" t="s">
        <v>493</v>
      </c>
    </row>
    <row r="150" spans="1:69" x14ac:dyDescent="0.35">
      <c r="A150" t="s">
        <v>220</v>
      </c>
      <c r="B150" t="s">
        <v>378</v>
      </c>
      <c r="C150" t="s">
        <v>362</v>
      </c>
      <c r="D150" t="s">
        <v>493</v>
      </c>
    </row>
    <row r="151" spans="1:69" x14ac:dyDescent="0.35">
      <c r="A151" t="s">
        <v>470</v>
      </c>
      <c r="B151" t="s">
        <v>246</v>
      </c>
      <c r="C151" t="s">
        <v>362</v>
      </c>
      <c r="D151" t="s">
        <v>493</v>
      </c>
    </row>
    <row r="152" spans="1:69" x14ac:dyDescent="0.35">
      <c r="A152" t="s">
        <v>325</v>
      </c>
      <c r="B152" t="s">
        <v>381</v>
      </c>
      <c r="C152" t="s">
        <v>362</v>
      </c>
      <c r="D152" t="s">
        <v>493</v>
      </c>
    </row>
    <row r="153" spans="1:69" x14ac:dyDescent="0.35">
      <c r="A153" t="s">
        <v>26</v>
      </c>
      <c r="B153" t="s">
        <v>166</v>
      </c>
      <c r="C153" t="s">
        <v>362</v>
      </c>
      <c r="D153" t="s">
        <v>493</v>
      </c>
      <c r="O153">
        <v>984947643.20000005</v>
      </c>
      <c r="P153">
        <v>1127918127.3</v>
      </c>
      <c r="Q153">
        <v>1186041280.3</v>
      </c>
      <c r="R153">
        <v>1287831261.9000001</v>
      </c>
      <c r="S153">
        <v>1514192941.5</v>
      </c>
      <c r="T153">
        <v>2659528434.8000002</v>
      </c>
      <c r="U153">
        <v>3360845158.5999999</v>
      </c>
      <c r="V153">
        <v>5610354070.3000002</v>
      </c>
      <c r="W153">
        <v>6923305124.6000004</v>
      </c>
      <c r="X153">
        <v>8207897716.8999996</v>
      </c>
      <c r="Y153">
        <v>9722119760.7000008</v>
      </c>
      <c r="Z153">
        <v>10579556345.6</v>
      </c>
      <c r="AA153">
        <v>12401132803.4</v>
      </c>
      <c r="AB153">
        <v>13037499587.9</v>
      </c>
      <c r="AC153">
        <v>13908382132.799999</v>
      </c>
      <c r="AD153">
        <v>16056141868.200001</v>
      </c>
      <c r="AE153">
        <v>17926477095.700001</v>
      </c>
      <c r="AF153">
        <v>21029558180.400002</v>
      </c>
      <c r="AG153">
        <v>21117139131</v>
      </c>
      <c r="AH153">
        <v>22230849930.599998</v>
      </c>
      <c r="AI153">
        <v>25026523628.400002</v>
      </c>
      <c r="AJ153">
        <v>22503101421.099998</v>
      </c>
      <c r="AK153">
        <v>22688198688.299999</v>
      </c>
      <c r="AL153">
        <v>22114998128.900002</v>
      </c>
      <c r="AM153">
        <v>22988012254.799999</v>
      </c>
      <c r="AN153">
        <v>23785013677.900002</v>
      </c>
      <c r="AO153">
        <v>24233330915.5</v>
      </c>
      <c r="AP153">
        <v>23501640856.400002</v>
      </c>
      <c r="AQ153">
        <v>23664365052.599998</v>
      </c>
      <c r="AR153">
        <v>23075639461.200001</v>
      </c>
      <c r="AS153">
        <v>20810014284.5</v>
      </c>
      <c r="AT153">
        <v>18924527892.599998</v>
      </c>
      <c r="AU153">
        <v>18140486660.400002</v>
      </c>
      <c r="AV153">
        <v>18384943689.5</v>
      </c>
      <c r="AW153">
        <v>17133015904.700001</v>
      </c>
      <c r="AX153">
        <v>16350932485.1</v>
      </c>
      <c r="AY153">
        <v>18051337126</v>
      </c>
      <c r="AZ153">
        <v>20795268515.299999</v>
      </c>
      <c r="BA153">
        <v>21063731444.099998</v>
      </c>
      <c r="BB153">
        <v>24783965561.5</v>
      </c>
      <c r="BC153">
        <v>27347978062.099998</v>
      </c>
      <c r="BD153">
        <v>30016607498.099998</v>
      </c>
      <c r="BE153">
        <v>33925181786.700001</v>
      </c>
      <c r="BF153">
        <v>39430846407.300003</v>
      </c>
      <c r="BG153">
        <v>43338961889.400002</v>
      </c>
      <c r="BH153">
        <v>44625383212.699997</v>
      </c>
      <c r="BI153">
        <v>47831451631</v>
      </c>
      <c r="BJ153">
        <v>51358094284</v>
      </c>
      <c r="BK153">
        <v>50686138658.300003</v>
      </c>
      <c r="BL153">
        <v>55279299519.300003</v>
      </c>
      <c r="BM153">
        <v>66009840918.5</v>
      </c>
      <c r="BN153">
        <v>65687357710.099998</v>
      </c>
      <c r="BO153">
        <v>64971802459.599998</v>
      </c>
      <c r="BP153">
        <v>69632222212.5</v>
      </c>
      <c r="BQ153">
        <v>67993946129.400002</v>
      </c>
    </row>
    <row r="154" spans="1:69" x14ac:dyDescent="0.35">
      <c r="A154" t="s">
        <v>332</v>
      </c>
      <c r="B154" t="s">
        <v>5</v>
      </c>
      <c r="C154" t="s">
        <v>362</v>
      </c>
      <c r="D154" t="s">
        <v>493</v>
      </c>
    </row>
    <row r="155" spans="1:69" x14ac:dyDescent="0.35">
      <c r="A155" t="s">
        <v>387</v>
      </c>
      <c r="B155" t="s">
        <v>70</v>
      </c>
      <c r="C155" t="s">
        <v>362</v>
      </c>
      <c r="D155" t="s">
        <v>493</v>
      </c>
      <c r="AK155">
        <v>38504010</v>
      </c>
      <c r="AL155">
        <v>277649585.69999999</v>
      </c>
      <c r="AM155">
        <v>502493296.39999998</v>
      </c>
      <c r="AN155">
        <v>695156112.5</v>
      </c>
      <c r="AO155">
        <v>847654629.70000005</v>
      </c>
      <c r="AP155">
        <v>1082410828.2</v>
      </c>
      <c r="AQ155">
        <v>1070923032</v>
      </c>
      <c r="AR155">
        <v>1186611253.5999999</v>
      </c>
      <c r="AS155">
        <v>1841764696.5999999</v>
      </c>
      <c r="AT155">
        <v>1790545238.9000001</v>
      </c>
      <c r="AU155">
        <v>1964800771.0999999</v>
      </c>
      <c r="AV155">
        <v>2116536512.5</v>
      </c>
      <c r="AW155">
        <v>2114078919.5</v>
      </c>
      <c r="AX155">
        <v>2219300777.1999998</v>
      </c>
      <c r="AY155">
        <v>2622104183.3000002</v>
      </c>
      <c r="AZ155">
        <v>3365279030.5999999</v>
      </c>
      <c r="BA155">
        <v>3724452934.9000001</v>
      </c>
      <c r="BB155">
        <v>3715120838.5999999</v>
      </c>
      <c r="BC155">
        <v>4724734887.3999996</v>
      </c>
      <c r="BD155">
        <v>5216932920.3999996</v>
      </c>
      <c r="BE155">
        <v>5320130874.1000004</v>
      </c>
      <c r="BF155">
        <v>6204086253.3999996</v>
      </c>
      <c r="BG155">
        <v>5851136268.3000002</v>
      </c>
      <c r="BH155">
        <v>6094646557.5</v>
      </c>
      <c r="BI155">
        <v>6217992082</v>
      </c>
      <c r="BJ155">
        <v>6967883842.8000002</v>
      </c>
      <c r="BK155">
        <v>7285819232</v>
      </c>
      <c r="BL155">
        <v>7311334078.8000002</v>
      </c>
      <c r="BM155">
        <v>7948372177.8999996</v>
      </c>
      <c r="BN155">
        <v>9067599919.5</v>
      </c>
      <c r="BO155">
        <v>9752045571.3999996</v>
      </c>
      <c r="BP155">
        <v>10662682776.4</v>
      </c>
      <c r="BQ155">
        <v>10491120731.799999</v>
      </c>
    </row>
    <row r="156" spans="1:69" x14ac:dyDescent="0.35">
      <c r="A156" t="s">
        <v>342</v>
      </c>
      <c r="B156" t="s">
        <v>12</v>
      </c>
      <c r="C156" t="s">
        <v>362</v>
      </c>
      <c r="D156" t="s">
        <v>493</v>
      </c>
      <c r="O156">
        <v>485146240.19999999</v>
      </c>
      <c r="P156">
        <v>488437476.89999998</v>
      </c>
      <c r="Q156">
        <v>510135605.19999999</v>
      </c>
      <c r="R156">
        <v>504986847.30000001</v>
      </c>
      <c r="S156">
        <v>750848944.20000005</v>
      </c>
      <c r="T156">
        <v>791025348.39999998</v>
      </c>
      <c r="U156">
        <v>189942758</v>
      </c>
      <c r="V156">
        <v>781578848.29999995</v>
      </c>
      <c r="W156">
        <v>355903317.69999999</v>
      </c>
      <c r="X156">
        <v>773090282</v>
      </c>
      <c r="Y156">
        <v>1248330829.8</v>
      </c>
      <c r="Z156">
        <v>1613368349.2</v>
      </c>
      <c r="AA156">
        <v>1932701142.0999999</v>
      </c>
      <c r="AB156">
        <v>2040565064.5999999</v>
      </c>
      <c r="AC156">
        <v>2146908255.4000001</v>
      </c>
      <c r="AD156">
        <v>2529331046.5</v>
      </c>
      <c r="AE156">
        <v>3007383734.0999999</v>
      </c>
      <c r="AF156">
        <v>3683564458.8000002</v>
      </c>
      <c r="AG156">
        <v>3683557860.5999999</v>
      </c>
      <c r="AH156">
        <v>3431373376.8000002</v>
      </c>
      <c r="AI156">
        <v>3701101935.3000002</v>
      </c>
      <c r="AJ156">
        <v>3908195316.3000002</v>
      </c>
      <c r="AK156">
        <v>3911346484.1999998</v>
      </c>
      <c r="AL156">
        <v>3804731531.5</v>
      </c>
      <c r="AM156">
        <v>4096453461.5999999</v>
      </c>
      <c r="AN156">
        <v>4322004158.1000004</v>
      </c>
      <c r="AO156">
        <v>4145801222.5</v>
      </c>
      <c r="AP156">
        <v>4108929981.9000001</v>
      </c>
      <c r="AQ156">
        <v>4393975739.8999996</v>
      </c>
      <c r="AR156">
        <v>4781749985.1000004</v>
      </c>
      <c r="AS156">
        <v>4726029557</v>
      </c>
      <c r="AT156">
        <v>4184263804.6999998</v>
      </c>
      <c r="AU156">
        <v>4543888332.3999996</v>
      </c>
      <c r="AV156">
        <v>4979583730.8999996</v>
      </c>
      <c r="AW156">
        <v>3824731184.5</v>
      </c>
      <c r="AX156">
        <v>3525441335.6999998</v>
      </c>
      <c r="AY156">
        <v>1526991065.5</v>
      </c>
      <c r="AZ156">
        <v>2332269180.4000001</v>
      </c>
      <c r="BA156">
        <v>2533049972.0999999</v>
      </c>
      <c r="BB156">
        <v>2846880423.6999998</v>
      </c>
      <c r="BC156">
        <v>2755972130.6999998</v>
      </c>
      <c r="BD156">
        <v>2867388363.6999998</v>
      </c>
      <c r="BE156">
        <v>2993469808.0999999</v>
      </c>
      <c r="BF156">
        <v>2940581583.4000001</v>
      </c>
      <c r="BG156">
        <v>2963528296.3000002</v>
      </c>
      <c r="BH156">
        <v>3007857304.8000002</v>
      </c>
      <c r="BI156">
        <v>2976805934.8000002</v>
      </c>
      <c r="BJ156">
        <v>3382906474.5999999</v>
      </c>
      <c r="BK156">
        <v>3720119522.3000002</v>
      </c>
      <c r="BL156">
        <v>4044792622.5999999</v>
      </c>
      <c r="BM156">
        <v>4841435396.1000004</v>
      </c>
      <c r="BN156">
        <v>5344813135.1999998</v>
      </c>
      <c r="BO156">
        <v>5935380471</v>
      </c>
      <c r="BP156">
        <v>6429471661.1000004</v>
      </c>
      <c r="BQ156">
        <v>6653640488.3000002</v>
      </c>
    </row>
    <row r="157" spans="1:69" x14ac:dyDescent="0.35">
      <c r="A157" t="s">
        <v>182</v>
      </c>
      <c r="B157" t="s">
        <v>77</v>
      </c>
      <c r="C157" t="s">
        <v>362</v>
      </c>
      <c r="D157" t="s">
        <v>493</v>
      </c>
      <c r="W157">
        <v>8884310.0999999996</v>
      </c>
      <c r="X157">
        <v>12814260.6</v>
      </c>
      <c r="Y157">
        <v>25763273.800000001</v>
      </c>
      <c r="Z157">
        <v>38885616.100000001</v>
      </c>
      <c r="AA157">
        <v>65069558.100000001</v>
      </c>
      <c r="AB157">
        <v>77220826.700000003</v>
      </c>
      <c r="AC157">
        <v>82809472.5</v>
      </c>
      <c r="AD157">
        <v>83065918.700000003</v>
      </c>
      <c r="AE157">
        <v>68684985.299999997</v>
      </c>
      <c r="AF157">
        <v>72836720</v>
      </c>
      <c r="AG157">
        <v>71359561.400000006</v>
      </c>
      <c r="AH157">
        <v>66800308.700000003</v>
      </c>
      <c r="AI157">
        <v>77964852.900000006</v>
      </c>
      <c r="AJ157">
        <v>81242507.099999994</v>
      </c>
      <c r="AK157">
        <v>94898973.900000006</v>
      </c>
      <c r="AL157">
        <v>112349106.8</v>
      </c>
      <c r="AM157">
        <v>123524561.09999999</v>
      </c>
      <c r="AN157">
        <v>154866795.90000001</v>
      </c>
      <c r="AO157">
        <v>168205228.40000001</v>
      </c>
      <c r="AP157">
        <v>171332186.69999999</v>
      </c>
      <c r="AQ157">
        <v>193599922.59999999</v>
      </c>
      <c r="AR157">
        <v>219239550.09999999</v>
      </c>
      <c r="AS157">
        <v>203023211.5</v>
      </c>
      <c r="AT157">
        <v>233027776.09999999</v>
      </c>
      <c r="AU157">
        <v>269846875.19999999</v>
      </c>
      <c r="AV157">
        <v>292920063.30000001</v>
      </c>
      <c r="AW157">
        <v>339659074.89999998</v>
      </c>
      <c r="AX157">
        <v>362256384.19999999</v>
      </c>
      <c r="AY157">
        <v>553529541.79999995</v>
      </c>
      <c r="AZ157">
        <v>771849569.60000002</v>
      </c>
      <c r="BA157">
        <v>1146830061.3</v>
      </c>
      <c r="BB157">
        <v>1382775073.4000001</v>
      </c>
      <c r="BC157">
        <v>913686330.29999995</v>
      </c>
      <c r="BD157">
        <v>880681947.20000005</v>
      </c>
      <c r="BE157">
        <v>939044142.79999995</v>
      </c>
      <c r="BF157">
        <v>1024556824.2</v>
      </c>
      <c r="BG157">
        <v>1101101172.9000001</v>
      </c>
      <c r="BH157">
        <v>1004002006.3</v>
      </c>
      <c r="BI157">
        <v>1137521463.5999999</v>
      </c>
      <c r="BJ157">
        <v>1465514069.7</v>
      </c>
      <c r="BK157">
        <v>2321198855.0999999</v>
      </c>
      <c r="BL157">
        <v>2674811758.5</v>
      </c>
      <c r="BM157">
        <v>3661325289.9000001</v>
      </c>
      <c r="BN157">
        <v>4099470066.5</v>
      </c>
      <c r="BO157">
        <v>3992801782.9000001</v>
      </c>
      <c r="BP157">
        <v>3999770239.1999998</v>
      </c>
      <c r="BQ157">
        <v>4692462747.8000002</v>
      </c>
    </row>
    <row r="158" spans="1:69" x14ac:dyDescent="0.35">
      <c r="A158" t="s">
        <v>475</v>
      </c>
      <c r="B158" t="s">
        <v>132</v>
      </c>
      <c r="C158" t="s">
        <v>362</v>
      </c>
      <c r="D158" t="s">
        <v>493</v>
      </c>
    </row>
    <row r="159" spans="1:69" x14ac:dyDescent="0.35">
      <c r="A159" t="s">
        <v>194</v>
      </c>
      <c r="B159" t="s">
        <v>249</v>
      </c>
      <c r="C159" t="s">
        <v>362</v>
      </c>
      <c r="D159" t="s">
        <v>493</v>
      </c>
      <c r="O159">
        <v>7097271963.6000004</v>
      </c>
      <c r="P159">
        <v>7627450073.8000002</v>
      </c>
      <c r="Q159">
        <v>8351504526.6000004</v>
      </c>
      <c r="R159">
        <v>10667132065.700001</v>
      </c>
      <c r="S159">
        <v>14080544375.1</v>
      </c>
      <c r="T159">
        <v>18381411868.799999</v>
      </c>
      <c r="U159">
        <v>24139106860.200001</v>
      </c>
      <c r="V159">
        <v>31382393509.700001</v>
      </c>
      <c r="W159">
        <v>35905344399.599998</v>
      </c>
      <c r="X159">
        <v>42974454788.900002</v>
      </c>
      <c r="Y159">
        <v>57574370375.599998</v>
      </c>
      <c r="Z159">
        <v>78412639827.199997</v>
      </c>
      <c r="AA159">
        <v>86274650447.199997</v>
      </c>
      <c r="AB159">
        <v>93158274474.300003</v>
      </c>
      <c r="AC159">
        <v>95016521283.5</v>
      </c>
      <c r="AD159">
        <v>97063210490.800003</v>
      </c>
      <c r="AE159">
        <v>101083076236.3</v>
      </c>
      <c r="AF159">
        <v>109652607038.7</v>
      </c>
      <c r="AG159">
        <v>99399530018.300003</v>
      </c>
      <c r="AH159">
        <v>94016224827.100006</v>
      </c>
      <c r="AI159">
        <v>104604453446.89999</v>
      </c>
      <c r="AJ159">
        <v>114219780588.7</v>
      </c>
      <c r="AK159">
        <v>112454855209.2</v>
      </c>
      <c r="AL159">
        <v>131852484881</v>
      </c>
      <c r="AM159">
        <v>139914928842.70001</v>
      </c>
      <c r="AN159">
        <v>166734035992.5</v>
      </c>
      <c r="AO159">
        <v>157582830604.39999</v>
      </c>
      <c r="AP159">
        <v>148844858127.79999</v>
      </c>
      <c r="AQ159">
        <v>171132230334.39999</v>
      </c>
      <c r="AR159">
        <v>185863562592.20001</v>
      </c>
      <c r="AS159">
        <v>178113615414.79999</v>
      </c>
      <c r="AT159">
        <v>202572533842.5</v>
      </c>
      <c r="AU159">
        <v>193461604962.70001</v>
      </c>
      <c r="AV159">
        <v>199260698324.5</v>
      </c>
      <c r="AW159">
        <v>210040194664.39999</v>
      </c>
      <c r="AX159">
        <v>218225512951.39999</v>
      </c>
      <c r="AY159">
        <v>221829065156.60001</v>
      </c>
      <c r="AZ159">
        <v>250650606340.29999</v>
      </c>
      <c r="BA159">
        <v>248240107870.39999</v>
      </c>
      <c r="BB159">
        <v>250545865969.29999</v>
      </c>
      <c r="BC159">
        <v>312338399290.79999</v>
      </c>
      <c r="BD159">
        <v>351694706992.29999</v>
      </c>
      <c r="BE159">
        <v>432987558051.40002</v>
      </c>
      <c r="BF159">
        <v>504135518878.20001</v>
      </c>
      <c r="BG159">
        <v>544166999708.70001</v>
      </c>
      <c r="BH159">
        <v>538015200055.59998</v>
      </c>
      <c r="BI159">
        <v>544792453300</v>
      </c>
      <c r="BJ159">
        <v>578638429804.90002</v>
      </c>
      <c r="BK159">
        <v>602000702060.09998</v>
      </c>
      <c r="BL159">
        <v>617449991504.40002</v>
      </c>
      <c r="BM159">
        <v>616686384395</v>
      </c>
      <c r="BN159">
        <v>601471659897.80005</v>
      </c>
      <c r="BO159">
        <v>585861539733.19995</v>
      </c>
      <c r="BP159">
        <v>595981151218</v>
      </c>
      <c r="BQ159">
        <v>591255026725</v>
      </c>
    </row>
    <row r="160" spans="1:69" x14ac:dyDescent="0.35">
      <c r="A160" t="s">
        <v>578</v>
      </c>
      <c r="B160" t="s">
        <v>521</v>
      </c>
      <c r="C160" t="s">
        <v>362</v>
      </c>
      <c r="D160" t="s">
        <v>493</v>
      </c>
    </row>
    <row r="161" spans="1:69" x14ac:dyDescent="0.35">
      <c r="A161" t="s">
        <v>367</v>
      </c>
      <c r="B161" t="s">
        <v>492</v>
      </c>
      <c r="C161" t="s">
        <v>362</v>
      </c>
      <c r="D161" t="s">
        <v>493</v>
      </c>
      <c r="O161">
        <v>61526386594.399994</v>
      </c>
      <c r="P161">
        <v>71774074259.100006</v>
      </c>
      <c r="Q161">
        <v>83303877557.199997</v>
      </c>
      <c r="R161">
        <v>99946143823.199997</v>
      </c>
      <c r="S161">
        <v>123777387861.70001</v>
      </c>
      <c r="T161">
        <v>150337476192.29999</v>
      </c>
      <c r="U161">
        <v>181674767730.79999</v>
      </c>
      <c r="V161">
        <v>241287948932.30008</v>
      </c>
      <c r="W161">
        <v>294493836139.69995</v>
      </c>
      <c r="X161">
        <v>344469326425.50012</v>
      </c>
      <c r="Y161">
        <v>422542872133.79999</v>
      </c>
      <c r="Z161">
        <v>489994294459.80005</v>
      </c>
      <c r="AA161">
        <v>557153490947.90002</v>
      </c>
      <c r="AB161">
        <v>600623703821.40002</v>
      </c>
      <c r="AC161">
        <v>626030373275.09998</v>
      </c>
      <c r="AD161">
        <v>688796114544.09998</v>
      </c>
      <c r="AE161">
        <v>758481171112.20007</v>
      </c>
      <c r="AF161">
        <v>871079225081.99976</v>
      </c>
      <c r="AG161">
        <v>879842721631.30017</v>
      </c>
      <c r="AH161">
        <v>931233907489.69983</v>
      </c>
      <c r="AI161">
        <v>1011416271419.2001</v>
      </c>
      <c r="AJ161">
        <v>1064871850033.0999</v>
      </c>
      <c r="AK161">
        <v>1112753472314.5999</v>
      </c>
      <c r="AL161">
        <v>1216907094477.3997</v>
      </c>
      <c r="AM161">
        <v>1348267428638.3997</v>
      </c>
      <c r="AN161">
        <v>1511189719443.2996</v>
      </c>
      <c r="AO161">
        <v>1566528900045.501</v>
      </c>
      <c r="AP161">
        <v>1618862293134.3003</v>
      </c>
      <c r="AQ161">
        <v>1746122663770.2993</v>
      </c>
      <c r="AR161">
        <v>1790222629321.1008</v>
      </c>
      <c r="AS161">
        <v>1753993951687.7988</v>
      </c>
      <c r="AT161">
        <v>1785684793354.6001</v>
      </c>
      <c r="AU161">
        <v>1836896918212.3003</v>
      </c>
      <c r="AV161">
        <v>1980960662160.3003</v>
      </c>
      <c r="AW161">
        <v>2143649749839.1995</v>
      </c>
      <c r="AX161">
        <v>2112079449912.5</v>
      </c>
      <c r="AY161">
        <v>2266927663812.4004</v>
      </c>
      <c r="AZ161">
        <v>2640650558189.2002</v>
      </c>
      <c r="BA161">
        <v>2820789945434.3003</v>
      </c>
      <c r="BB161">
        <v>3071639380887.0005</v>
      </c>
      <c r="BC161">
        <v>3766910523810.1992</v>
      </c>
      <c r="BD161">
        <v>4384142220835.3984</v>
      </c>
      <c r="BE161">
        <v>4882312068632.5977</v>
      </c>
      <c r="BF161">
        <v>5580794934560.2979</v>
      </c>
      <c r="BG161">
        <v>6133133452126.999</v>
      </c>
      <c r="BH161">
        <v>5724617173241.2979</v>
      </c>
      <c r="BI161">
        <v>5937437440480.1006</v>
      </c>
      <c r="BJ161">
        <v>6682732857437.5967</v>
      </c>
      <c r="BK161">
        <v>7160759700570.501</v>
      </c>
      <c r="BL161">
        <v>7531874265906.3994</v>
      </c>
      <c r="BM161">
        <v>7933508070646.1006</v>
      </c>
      <c r="BN161">
        <v>8565570343639.8018</v>
      </c>
      <c r="BO161">
        <v>8451684272285.6006</v>
      </c>
      <c r="BP161">
        <v>8599433229837.4023</v>
      </c>
      <c r="BQ161">
        <v>8693441077659.2959</v>
      </c>
    </row>
    <row r="162" spans="1:69" x14ac:dyDescent="0.35">
      <c r="A162" t="s">
        <v>99</v>
      </c>
      <c r="B162" t="s">
        <v>533</v>
      </c>
      <c r="C162" t="s">
        <v>362</v>
      </c>
      <c r="D162" t="s">
        <v>493</v>
      </c>
      <c r="AL162">
        <v>999807825.29999995</v>
      </c>
      <c r="AM162">
        <v>1034497118.9</v>
      </c>
      <c r="AN162">
        <v>1208526120.9000001</v>
      </c>
      <c r="AO162">
        <v>1732657178.5999999</v>
      </c>
      <c r="AP162">
        <v>1231743682.5999999</v>
      </c>
      <c r="AQ162">
        <v>1488673981</v>
      </c>
      <c r="AR162">
        <v>1447513641.8</v>
      </c>
      <c r="AS162">
        <v>1477858663.0999999</v>
      </c>
      <c r="AT162">
        <v>1495042031.9000001</v>
      </c>
      <c r="AU162">
        <v>1656234711.4000001</v>
      </c>
      <c r="AV162">
        <v>1866793246.5999999</v>
      </c>
      <c r="AW162">
        <v>2821671500.5</v>
      </c>
      <c r="AX162">
        <v>2978082108.3000002</v>
      </c>
      <c r="AY162">
        <v>3293072429.4000001</v>
      </c>
      <c r="AZ162">
        <v>4161065767.9000001</v>
      </c>
      <c r="BA162">
        <v>4294432537.8000002</v>
      </c>
      <c r="BB162">
        <v>5211242723.5</v>
      </c>
      <c r="BC162">
        <v>5117234792.1999998</v>
      </c>
      <c r="BD162">
        <v>5982687643.1999998</v>
      </c>
      <c r="BE162">
        <v>6440923457.5</v>
      </c>
      <c r="BF162">
        <v>6348713317.6999998</v>
      </c>
      <c r="BG162">
        <v>6690206195.1000004</v>
      </c>
      <c r="BH162">
        <v>6592451551</v>
      </c>
      <c r="BI162">
        <v>7364973879.5</v>
      </c>
      <c r="BJ162">
        <v>8428993017.3000002</v>
      </c>
      <c r="BK162">
        <v>8611055372.7000008</v>
      </c>
      <c r="BL162">
        <v>8883693457.7999992</v>
      </c>
      <c r="BM162">
        <v>10177241392.799999</v>
      </c>
      <c r="BN162">
        <v>10871173439</v>
      </c>
      <c r="BO162">
        <v>11639682525.799999</v>
      </c>
      <c r="BP162">
        <v>12519612311.4</v>
      </c>
      <c r="BQ162">
        <v>12837215392.299999</v>
      </c>
    </row>
    <row r="163" spans="1:69" x14ac:dyDescent="0.35">
      <c r="A163" t="s">
        <v>286</v>
      </c>
      <c r="B163" t="s">
        <v>502</v>
      </c>
      <c r="C163" t="s">
        <v>362</v>
      </c>
      <c r="D163" t="s">
        <v>493</v>
      </c>
      <c r="O163">
        <v>247329389.80000001</v>
      </c>
      <c r="P163">
        <v>270904912.39999998</v>
      </c>
      <c r="Q163">
        <v>268459500.5</v>
      </c>
      <c r="R163">
        <v>301150655.89999998</v>
      </c>
      <c r="S163">
        <v>349032615</v>
      </c>
      <c r="T163">
        <v>356087237.60000002</v>
      </c>
      <c r="U163">
        <v>373790643.60000002</v>
      </c>
      <c r="V163">
        <v>471760934.60000002</v>
      </c>
      <c r="W163">
        <v>564047359.70000005</v>
      </c>
      <c r="X163">
        <v>567284582.39999998</v>
      </c>
      <c r="Y163">
        <v>727065952.20000005</v>
      </c>
      <c r="Z163">
        <v>830271147</v>
      </c>
      <c r="AA163">
        <v>875182595.79999995</v>
      </c>
      <c r="AB163">
        <v>988418284.10000002</v>
      </c>
      <c r="AC163">
        <v>1237315019</v>
      </c>
      <c r="AD163">
        <v>1456134356</v>
      </c>
      <c r="AE163">
        <v>1743115158.8</v>
      </c>
      <c r="AF163">
        <v>2049076480.5</v>
      </c>
      <c r="AG163">
        <v>2019888080.4000001</v>
      </c>
      <c r="AH163">
        <v>2127515896.4000001</v>
      </c>
      <c r="AI163">
        <v>2467995904.9000001</v>
      </c>
      <c r="AJ163">
        <v>2599264266.9000001</v>
      </c>
      <c r="AK163">
        <v>2900472548.5999999</v>
      </c>
      <c r="AL163">
        <v>2903213185.3000002</v>
      </c>
      <c r="AM163">
        <v>2694518432.5</v>
      </c>
      <c r="AN163">
        <v>2958170808</v>
      </c>
      <c r="AO163">
        <v>3006602911.1999998</v>
      </c>
      <c r="AP163">
        <v>3152281165.0999999</v>
      </c>
      <c r="AQ163">
        <v>3204812997.8000002</v>
      </c>
      <c r="AR163">
        <v>3217973119.8000002</v>
      </c>
      <c r="AS163">
        <v>2981177567.0999999</v>
      </c>
      <c r="AT163">
        <v>2878077838.6999998</v>
      </c>
      <c r="AU163">
        <v>2774307283.6999998</v>
      </c>
      <c r="AV163">
        <v>3058861293</v>
      </c>
      <c r="AW163">
        <v>3272986411.1999998</v>
      </c>
      <c r="AX163">
        <v>3179661836.5</v>
      </c>
      <c r="AY163">
        <v>1588624984.4000001</v>
      </c>
      <c r="AZ163">
        <v>1834626837.2</v>
      </c>
      <c r="BA163">
        <v>2039671525.9000001</v>
      </c>
      <c r="BB163">
        <v>2194580111</v>
      </c>
      <c r="BC163">
        <v>2438634702.6999998</v>
      </c>
      <c r="BD163">
        <v>2907439380.6999998</v>
      </c>
      <c r="BE163">
        <v>3070313143</v>
      </c>
      <c r="BF163">
        <v>3483872890.3000002</v>
      </c>
      <c r="BG163">
        <v>3521672816.9000001</v>
      </c>
      <c r="BH163">
        <v>3747044962.9000001</v>
      </c>
      <c r="BI163">
        <v>3847760144.6999998</v>
      </c>
      <c r="BJ163">
        <v>4319894781.3999996</v>
      </c>
      <c r="BK163">
        <v>4595485040.1000004</v>
      </c>
      <c r="BL163">
        <v>4997729073.8999996</v>
      </c>
      <c r="BM163">
        <v>5813484499.6999998</v>
      </c>
      <c r="BN163">
        <v>6380090487.6000004</v>
      </c>
      <c r="BO163">
        <v>6233839496.8000002</v>
      </c>
      <c r="BP163">
        <v>6470797281.1000004</v>
      </c>
      <c r="BQ163">
        <v>6439962214.3999996</v>
      </c>
    </row>
    <row r="164" spans="1:69" x14ac:dyDescent="0.35">
      <c r="A164" t="s">
        <v>326</v>
      </c>
      <c r="B164" t="s">
        <v>95</v>
      </c>
      <c r="C164" t="s">
        <v>362</v>
      </c>
      <c r="D164" t="s">
        <v>493</v>
      </c>
    </row>
    <row r="165" spans="1:69" x14ac:dyDescent="0.35">
      <c r="A165" t="s">
        <v>346</v>
      </c>
      <c r="B165" t="s">
        <v>55</v>
      </c>
      <c r="C165" t="s">
        <v>362</v>
      </c>
      <c r="D165" t="s">
        <v>493</v>
      </c>
      <c r="O165">
        <v>163680999.5</v>
      </c>
      <c r="P165">
        <v>193902031.90000001</v>
      </c>
      <c r="Q165">
        <v>220887574.19999999</v>
      </c>
      <c r="R165">
        <v>304231991.19999999</v>
      </c>
      <c r="S165">
        <v>356084560.19999999</v>
      </c>
      <c r="T165">
        <v>373114865.30000001</v>
      </c>
      <c r="U165">
        <v>387876233.69999999</v>
      </c>
      <c r="V165">
        <v>606123846.60000002</v>
      </c>
      <c r="W165">
        <v>1016693814.7</v>
      </c>
      <c r="X165">
        <v>1400620595.5</v>
      </c>
      <c r="Y165">
        <v>1681016888.4000001</v>
      </c>
      <c r="Z165">
        <v>1967776609.3</v>
      </c>
      <c r="AA165">
        <v>2249852431.0999999</v>
      </c>
      <c r="AB165">
        <v>2451887471.5</v>
      </c>
      <c r="AC165">
        <v>2496472629.3000002</v>
      </c>
      <c r="AD165">
        <v>3079595197.5999999</v>
      </c>
      <c r="AE165">
        <v>3792090507.3000002</v>
      </c>
      <c r="AF165">
        <v>4792084860.6999998</v>
      </c>
      <c r="AG165">
        <v>4882277843.1000004</v>
      </c>
      <c r="AH165">
        <v>4744784910.6999998</v>
      </c>
      <c r="AI165">
        <v>5328162847.8999996</v>
      </c>
      <c r="AJ165">
        <v>5484154972</v>
      </c>
      <c r="AK165">
        <v>5537457751.6000004</v>
      </c>
      <c r="AL165">
        <v>5836105779.6000004</v>
      </c>
      <c r="AM165">
        <v>6418593347.3000002</v>
      </c>
      <c r="AN165">
        <v>6261896664.1000004</v>
      </c>
      <c r="AO165">
        <v>5824336419.8999996</v>
      </c>
      <c r="AP165">
        <v>5894669147.3000002</v>
      </c>
      <c r="AQ165">
        <v>6113503813.6000004</v>
      </c>
      <c r="AR165">
        <v>6448277408.6000004</v>
      </c>
      <c r="AS165">
        <v>6482210337.8999996</v>
      </c>
      <c r="AT165">
        <v>6092479225.6000004</v>
      </c>
      <c r="AU165">
        <v>6706702919.5</v>
      </c>
      <c r="AV165">
        <v>7436375927.8000002</v>
      </c>
      <c r="AW165">
        <v>7706257381.1999998</v>
      </c>
      <c r="AX165">
        <v>7177918756.8999996</v>
      </c>
      <c r="AY165">
        <v>7518933305</v>
      </c>
      <c r="AZ165">
        <v>8067206719.8000002</v>
      </c>
      <c r="BA165">
        <v>8957289205.7000008</v>
      </c>
      <c r="BB165">
        <v>9495368311.1000004</v>
      </c>
      <c r="BC165">
        <v>9990180484.7999992</v>
      </c>
      <c r="BD165">
        <v>10825723144.799999</v>
      </c>
      <c r="BE165">
        <v>11033527299.9</v>
      </c>
      <c r="BF165">
        <v>9916586454.3999996</v>
      </c>
      <c r="BG165">
        <v>10049278770.5</v>
      </c>
      <c r="BH165">
        <v>10219854991</v>
      </c>
      <c r="BI165">
        <v>10112462045</v>
      </c>
      <c r="BJ165">
        <v>10783959875.700001</v>
      </c>
      <c r="BK165">
        <v>10731523127</v>
      </c>
      <c r="BL165">
        <v>11182088460</v>
      </c>
      <c r="BM165">
        <v>13405286214.299999</v>
      </c>
      <c r="BN165">
        <v>13756717822.1</v>
      </c>
      <c r="BO165">
        <v>12535377301.1</v>
      </c>
      <c r="BP165">
        <v>12160041318.5</v>
      </c>
      <c r="BQ165">
        <v>11174807782.299999</v>
      </c>
    </row>
    <row r="166" spans="1:69" x14ac:dyDescent="0.35">
      <c r="A166" t="s">
        <v>538</v>
      </c>
      <c r="B166" t="s">
        <v>447</v>
      </c>
      <c r="C166" t="s">
        <v>362</v>
      </c>
      <c r="D166" t="s">
        <v>493</v>
      </c>
      <c r="O166">
        <v>8272432006.8999996</v>
      </c>
      <c r="P166">
        <v>9576507025.6000004</v>
      </c>
      <c r="Q166">
        <v>10352191682.5</v>
      </c>
      <c r="R166">
        <v>12843417110.399998</v>
      </c>
      <c r="S166">
        <v>14612858647.400002</v>
      </c>
      <c r="T166">
        <v>20733964078.700001</v>
      </c>
      <c r="U166">
        <v>26217732745.900002</v>
      </c>
      <c r="V166">
        <v>41295323720.299995</v>
      </c>
      <c r="W166">
        <v>51206889919.199997</v>
      </c>
      <c r="X166">
        <v>59326240492.099991</v>
      </c>
      <c r="Y166">
        <v>74110554242.300003</v>
      </c>
      <c r="Z166">
        <v>79030077349.399994</v>
      </c>
      <c r="AA166">
        <v>93290976054.700012</v>
      </c>
      <c r="AB166">
        <v>98389797765.299988</v>
      </c>
      <c r="AC166">
        <v>99401207828.600006</v>
      </c>
      <c r="AD166">
        <v>114048959011.39999</v>
      </c>
      <c r="AE166">
        <v>129767296847.5</v>
      </c>
      <c r="AF166">
        <v>147164297108.70001</v>
      </c>
      <c r="AG166">
        <v>152068308186.10001</v>
      </c>
      <c r="AH166">
        <v>158606407055.50003</v>
      </c>
      <c r="AI166">
        <v>157460782496.59998</v>
      </c>
      <c r="AJ166">
        <v>163719607628.70001</v>
      </c>
      <c r="AK166">
        <v>166685864395.60001</v>
      </c>
      <c r="AL166">
        <v>171246424833.60001</v>
      </c>
      <c r="AM166">
        <v>181716630082.40002</v>
      </c>
      <c r="AN166">
        <v>192181494135.20001</v>
      </c>
      <c r="AO166">
        <v>187574619183.10001</v>
      </c>
      <c r="AP166">
        <v>175710299246.30005</v>
      </c>
      <c r="AQ166">
        <v>186252762109.20004</v>
      </c>
      <c r="AR166">
        <v>183489751309.79999</v>
      </c>
      <c r="AS166">
        <v>177887617025.19998</v>
      </c>
      <c r="AT166">
        <v>175890343934.20001</v>
      </c>
      <c r="AU166">
        <v>186486561553.60001</v>
      </c>
      <c r="AV166">
        <v>199310524626.49994</v>
      </c>
      <c r="AW166">
        <v>252035394028.80002</v>
      </c>
      <c r="AX166">
        <v>219393920729.29999</v>
      </c>
      <c r="AY166">
        <v>214206675630.5</v>
      </c>
      <c r="AZ166">
        <v>232348354417.40002</v>
      </c>
      <c r="BA166">
        <v>237069840243.89999</v>
      </c>
      <c r="BB166">
        <v>259797354181.00003</v>
      </c>
      <c r="BC166">
        <v>276398325905.09998</v>
      </c>
      <c r="BD166">
        <v>278531198368.39996</v>
      </c>
      <c r="BE166">
        <v>287054302445.5</v>
      </c>
      <c r="BF166">
        <v>306007296676.80005</v>
      </c>
      <c r="BG166">
        <v>310759793703.20001</v>
      </c>
      <c r="BH166">
        <v>331005797504.79993</v>
      </c>
      <c r="BI166">
        <v>368918084282.99994</v>
      </c>
      <c r="BJ166">
        <v>424403783327.90009</v>
      </c>
      <c r="BK166">
        <v>453008315359.10004</v>
      </c>
      <c r="BL166">
        <v>482613531550.70007</v>
      </c>
      <c r="BM166">
        <v>520176399584.60004</v>
      </c>
      <c r="BN166">
        <v>556621876560.79993</v>
      </c>
      <c r="BO166">
        <v>563085458094.49988</v>
      </c>
      <c r="BP166">
        <v>578681258849.30005</v>
      </c>
      <c r="BQ166">
        <v>561213379611.50012</v>
      </c>
    </row>
    <row r="167" spans="1:69" x14ac:dyDescent="0.35">
      <c r="A167" t="s">
        <v>330</v>
      </c>
      <c r="B167" t="s">
        <v>163</v>
      </c>
      <c r="C167" t="s">
        <v>362</v>
      </c>
      <c r="D167" t="s">
        <v>493</v>
      </c>
      <c r="AY167">
        <v>879825840.39999998</v>
      </c>
      <c r="AZ167">
        <v>1299340650.2</v>
      </c>
      <c r="BA167">
        <v>1502099048.5</v>
      </c>
      <c r="BB167">
        <v>2356696742.8000002</v>
      </c>
      <c r="BC167">
        <v>4502976940.8999996</v>
      </c>
      <c r="BD167">
        <v>5524651521.6000004</v>
      </c>
      <c r="BE167">
        <v>6175932504.6000004</v>
      </c>
      <c r="BF167">
        <v>7387914607.8999996</v>
      </c>
      <c r="BG167">
        <v>6759453969.5</v>
      </c>
      <c r="BH167">
        <v>6674238727</v>
      </c>
      <c r="BI167">
        <v>6277162867.3000002</v>
      </c>
      <c r="BJ167">
        <v>7292384356.8999996</v>
      </c>
      <c r="BK167">
        <v>8107921805.3000002</v>
      </c>
      <c r="BL167">
        <v>8438759319.3999996</v>
      </c>
      <c r="BM167">
        <v>10523512118.4</v>
      </c>
      <c r="BN167">
        <v>9637917250.1000004</v>
      </c>
      <c r="BO167">
        <v>8806406767.7999992</v>
      </c>
      <c r="BP167">
        <v>8664556534.2999992</v>
      </c>
      <c r="BQ167">
        <v>8741348456.1000004</v>
      </c>
    </row>
    <row r="168" spans="1:69" x14ac:dyDescent="0.35">
      <c r="A168" t="s">
        <v>324</v>
      </c>
      <c r="B168" t="s">
        <v>385</v>
      </c>
      <c r="C168" t="s">
        <v>362</v>
      </c>
      <c r="D168" t="s">
        <v>493</v>
      </c>
      <c r="AK168">
        <v>354767148.39999998</v>
      </c>
      <c r="AL168">
        <v>387587630.39999998</v>
      </c>
      <c r="AM168">
        <v>464445079.69999999</v>
      </c>
      <c r="AN168">
        <v>530709459.5</v>
      </c>
      <c r="AO168">
        <v>534109092.89999998</v>
      </c>
      <c r="AP168">
        <v>606210429.5</v>
      </c>
      <c r="AQ168">
        <v>726731457.79999995</v>
      </c>
      <c r="AR168">
        <v>981029420</v>
      </c>
      <c r="AS168">
        <v>959974419.20000005</v>
      </c>
      <c r="AT168">
        <v>946235061.70000005</v>
      </c>
      <c r="AU168">
        <v>1102129245.4000001</v>
      </c>
      <c r="AV168">
        <v>1544708956.9000001</v>
      </c>
      <c r="AW168">
        <v>1593614529</v>
      </c>
      <c r="AX168">
        <v>1396369453.2</v>
      </c>
      <c r="AY168">
        <v>1494391223</v>
      </c>
      <c r="AZ168">
        <v>1743771481.3</v>
      </c>
      <c r="BA168">
        <v>2185574928.1999998</v>
      </c>
      <c r="BB168">
        <v>2987825936.4000001</v>
      </c>
      <c r="BC168">
        <v>5928348234.1000004</v>
      </c>
      <c r="BD168">
        <v>9629415055.8999996</v>
      </c>
      <c r="BE168">
        <v>15884345587.4</v>
      </c>
      <c r="BF168">
        <v>20163758882.700001</v>
      </c>
      <c r="BG168">
        <v>22661510937.299999</v>
      </c>
      <c r="BH168">
        <v>24116768493.900002</v>
      </c>
      <c r="BI168">
        <v>26419310479.099998</v>
      </c>
      <c r="BJ168">
        <v>29736206992.599998</v>
      </c>
      <c r="BK168">
        <v>31615438487.900002</v>
      </c>
      <c r="BL168">
        <v>33307361024.099998</v>
      </c>
      <c r="BM168">
        <v>32634584659.200001</v>
      </c>
      <c r="BN168">
        <v>34962629978.300003</v>
      </c>
      <c r="BO168">
        <v>33701162514.400002</v>
      </c>
      <c r="BP168">
        <v>35039286449.300003</v>
      </c>
      <c r="BQ168">
        <v>38016581521.199997</v>
      </c>
    </row>
    <row r="169" spans="1:69" x14ac:dyDescent="0.35">
      <c r="A169" t="s">
        <v>148</v>
      </c>
      <c r="B169" t="s">
        <v>503</v>
      </c>
      <c r="C169" t="s">
        <v>362</v>
      </c>
      <c r="D169" t="s">
        <v>493</v>
      </c>
    </row>
    <row r="170" spans="1:69" x14ac:dyDescent="0.35">
      <c r="A170" t="s">
        <v>497</v>
      </c>
      <c r="B170" t="s">
        <v>114</v>
      </c>
      <c r="C170" t="s">
        <v>362</v>
      </c>
      <c r="D170" t="s">
        <v>493</v>
      </c>
      <c r="AC170">
        <v>1325188500.9000001</v>
      </c>
      <c r="AD170">
        <v>2829525566.5999999</v>
      </c>
      <c r="AE170">
        <v>3450885381.1999998</v>
      </c>
      <c r="AF170">
        <v>4085146123.6999998</v>
      </c>
      <c r="AG170">
        <v>4121792888.9000001</v>
      </c>
      <c r="AH170">
        <v>4321680997.5</v>
      </c>
      <c r="AI170">
        <v>4600672902.8000002</v>
      </c>
      <c r="AJ170">
        <v>4669674821.6000004</v>
      </c>
      <c r="AK170">
        <v>5081983468.6000004</v>
      </c>
      <c r="AL170">
        <v>5163211988.5</v>
      </c>
      <c r="AM170">
        <v>7223305768.1999998</v>
      </c>
      <c r="AN170">
        <v>7410074810.1000004</v>
      </c>
      <c r="AO170">
        <v>7517522867</v>
      </c>
      <c r="AP170">
        <v>7583169015.1999998</v>
      </c>
      <c r="AQ170">
        <v>8313495221.6999998</v>
      </c>
      <c r="AR170">
        <v>7322033827.8999996</v>
      </c>
      <c r="AS170">
        <v>6616319416.3000002</v>
      </c>
      <c r="AT170">
        <v>4467431060.8000002</v>
      </c>
      <c r="AU170">
        <v>5093523446</v>
      </c>
      <c r="AV170">
        <v>5404860952.3999996</v>
      </c>
      <c r="AW170">
        <v>5988473521.6999998</v>
      </c>
      <c r="AX170">
        <v>6118093144.6999998</v>
      </c>
      <c r="AY170">
        <v>4920139667.8000002</v>
      </c>
      <c r="AZ170">
        <v>5681113142.3000002</v>
      </c>
      <c r="BA170">
        <v>6367161910.5</v>
      </c>
      <c r="BB170">
        <v>7910668053.1000004</v>
      </c>
      <c r="BC170">
        <v>11230847942.9</v>
      </c>
      <c r="BD170">
        <v>13467163287.6</v>
      </c>
      <c r="BE170">
        <v>19789749571</v>
      </c>
      <c r="BF170">
        <v>28977879799.599998</v>
      </c>
      <c r="BG170">
        <v>34576421531.099998</v>
      </c>
      <c r="BH170">
        <v>38438314512.300003</v>
      </c>
      <c r="BI170">
        <v>43401165454.900002</v>
      </c>
      <c r="BJ170">
        <v>46766241383.199997</v>
      </c>
      <c r="BK170">
        <v>50832826069.599998</v>
      </c>
      <c r="BL170">
        <v>55538161414.099998</v>
      </c>
      <c r="BM170">
        <v>60289393540</v>
      </c>
      <c r="BN170">
        <v>64425786318.199997</v>
      </c>
      <c r="BO170">
        <v>66289653065.300003</v>
      </c>
      <c r="BP170">
        <v>67935857527.800003</v>
      </c>
      <c r="BQ170">
        <v>69765373429.600006</v>
      </c>
    </row>
    <row r="171" spans="1:69" x14ac:dyDescent="0.35">
      <c r="A171" t="s">
        <v>45</v>
      </c>
      <c r="B171" t="s">
        <v>336</v>
      </c>
      <c r="C171" t="s">
        <v>362</v>
      </c>
      <c r="D171" t="s">
        <v>493</v>
      </c>
      <c r="O171">
        <v>26315139.800000001</v>
      </c>
      <c r="P171">
        <v>38917392</v>
      </c>
      <c r="Q171">
        <v>55901714.799999997</v>
      </c>
      <c r="R171">
        <v>105104201.8</v>
      </c>
      <c r="S171">
        <v>167769703.30000001</v>
      </c>
      <c r="T171">
        <v>188223059.30000001</v>
      </c>
      <c r="U171">
        <v>406677120.60000002</v>
      </c>
      <c r="V171">
        <v>522227584</v>
      </c>
      <c r="W171">
        <v>682289435.29999995</v>
      </c>
      <c r="X171">
        <v>714672347.70000005</v>
      </c>
      <c r="Y171">
        <v>836345498</v>
      </c>
      <c r="Z171">
        <v>960830668.89999998</v>
      </c>
      <c r="AA171">
        <v>1133096261</v>
      </c>
      <c r="AB171">
        <v>1273374706.9000001</v>
      </c>
      <c r="AC171">
        <v>1317129629.7</v>
      </c>
      <c r="AD171">
        <v>1450506269.9000001</v>
      </c>
      <c r="AE171">
        <v>1742102911.7</v>
      </c>
      <c r="AF171">
        <v>2023942394.7</v>
      </c>
      <c r="AG171">
        <v>2046882263.2</v>
      </c>
      <c r="AH171">
        <v>1967825049.7</v>
      </c>
      <c r="AI171">
        <v>2109426965.7</v>
      </c>
      <c r="AJ171">
        <v>2201330412.5999999</v>
      </c>
      <c r="AK171">
        <v>2100811551.5999999</v>
      </c>
      <c r="AL171">
        <v>2169793892.4000001</v>
      </c>
      <c r="AM171">
        <v>2255603797.6999998</v>
      </c>
      <c r="AN171">
        <v>2390562998.4000001</v>
      </c>
      <c r="AO171">
        <v>2451411242.9000001</v>
      </c>
      <c r="AP171">
        <v>2489391257.3000002</v>
      </c>
      <c r="AQ171">
        <v>2389022769.9000001</v>
      </c>
      <c r="AR171">
        <v>2499843794.9000001</v>
      </c>
      <c r="AS171">
        <v>2344637631.9000001</v>
      </c>
      <c r="AT171">
        <v>2251014239.6999998</v>
      </c>
      <c r="AU171">
        <v>2237558424.9000001</v>
      </c>
      <c r="AV171">
        <v>2318671111.4000001</v>
      </c>
      <c r="AW171">
        <v>2299558089.1999998</v>
      </c>
      <c r="AX171">
        <v>2281454208.9000001</v>
      </c>
      <c r="AY171">
        <v>1560130846.4000001</v>
      </c>
      <c r="AZ171">
        <v>2568568273.0999999</v>
      </c>
      <c r="BA171">
        <v>2850445607.0999999</v>
      </c>
      <c r="BB171">
        <v>3141949629.8000002</v>
      </c>
      <c r="BC171">
        <v>3556481608.1999998</v>
      </c>
      <c r="BD171">
        <v>3742969896.6999998</v>
      </c>
      <c r="BE171">
        <v>4277397892.3000002</v>
      </c>
      <c r="BF171">
        <v>4522468781.5</v>
      </c>
      <c r="BG171">
        <v>4531578245.3000002</v>
      </c>
      <c r="BH171">
        <v>4993494071.1999998</v>
      </c>
      <c r="BI171">
        <v>5080228847.5</v>
      </c>
      <c r="BJ171">
        <v>5241041040.5</v>
      </c>
      <c r="BK171">
        <v>5223782895.1000004</v>
      </c>
      <c r="BL171">
        <v>5381274690.3999996</v>
      </c>
      <c r="BM171">
        <v>5685048948.8000002</v>
      </c>
      <c r="BN171">
        <v>4785800456.1999998</v>
      </c>
      <c r="BO171">
        <v>4559340624.3999996</v>
      </c>
      <c r="BP171">
        <v>4588008473.3000002</v>
      </c>
      <c r="BQ171">
        <v>4459916731.6000004</v>
      </c>
    </row>
    <row r="172" spans="1:69" x14ac:dyDescent="0.35">
      <c r="A172" t="s">
        <v>39</v>
      </c>
      <c r="B172" t="s">
        <v>344</v>
      </c>
      <c r="C172" t="s">
        <v>362</v>
      </c>
      <c r="D172" t="s">
        <v>493</v>
      </c>
      <c r="O172">
        <v>31738400</v>
      </c>
      <c r="P172">
        <v>33286777.300000001</v>
      </c>
      <c r="Q172">
        <v>35859403.600000001</v>
      </c>
      <c r="R172">
        <v>42347246.399999999</v>
      </c>
      <c r="S172">
        <v>47815505.700000003</v>
      </c>
      <c r="T172">
        <v>52182066.600000001</v>
      </c>
      <c r="U172">
        <v>64926963.700000003</v>
      </c>
      <c r="V172">
        <v>101513308</v>
      </c>
      <c r="W172">
        <v>190057591.19999999</v>
      </c>
      <c r="X172">
        <v>306197241.69999999</v>
      </c>
      <c r="Y172">
        <v>420231063.39999998</v>
      </c>
      <c r="Z172">
        <v>504760102.5</v>
      </c>
      <c r="AA172">
        <v>550032545.89999998</v>
      </c>
      <c r="AB172">
        <v>512034883.10000002</v>
      </c>
      <c r="AC172">
        <v>510117703.39999998</v>
      </c>
      <c r="AD172">
        <v>577756799.79999995</v>
      </c>
      <c r="AE172">
        <v>634224117.89999998</v>
      </c>
      <c r="AF172">
        <v>785227656.10000002</v>
      </c>
      <c r="AG172">
        <v>824028164.39999998</v>
      </c>
      <c r="AH172">
        <v>812915119.5</v>
      </c>
      <c r="AI172">
        <v>932288569.89999998</v>
      </c>
      <c r="AJ172">
        <v>991773851.79999995</v>
      </c>
      <c r="AK172">
        <v>943715144.39999998</v>
      </c>
      <c r="AL172">
        <v>901101941.5</v>
      </c>
      <c r="AM172">
        <v>1098541961.4000001</v>
      </c>
      <c r="AN172">
        <v>1415082634</v>
      </c>
      <c r="AO172">
        <v>1398985369.8</v>
      </c>
      <c r="AP172">
        <v>1339677413.5</v>
      </c>
      <c r="AQ172">
        <v>1281160960.3</v>
      </c>
      <c r="AR172">
        <v>1292869242</v>
      </c>
      <c r="AS172">
        <v>966762441.10000002</v>
      </c>
      <c r="AT172">
        <v>867310143</v>
      </c>
      <c r="AU172">
        <v>2042535103.7</v>
      </c>
      <c r="AV172">
        <v>3225477013.0999999</v>
      </c>
      <c r="AW172">
        <v>3329382750.5</v>
      </c>
      <c r="AX172">
        <v>3631519806.6999998</v>
      </c>
      <c r="AY172">
        <v>3504181954.5999999</v>
      </c>
      <c r="AZ172">
        <v>5673170871.8000002</v>
      </c>
      <c r="BA172">
        <v>6514858744.6000004</v>
      </c>
      <c r="BB172">
        <v>7318907627.8999996</v>
      </c>
      <c r="BC172">
        <v>7928681896.1999998</v>
      </c>
      <c r="BD172">
        <v>9841085923.8999996</v>
      </c>
      <c r="BE172">
        <v>10694876889.200001</v>
      </c>
      <c r="BF172">
        <v>12391683917</v>
      </c>
      <c r="BG172">
        <v>12759055557.6</v>
      </c>
      <c r="BH172">
        <v>10302274190</v>
      </c>
      <c r="BI172">
        <v>10444397736.4</v>
      </c>
      <c r="BJ172">
        <v>10629579614</v>
      </c>
      <c r="BK172">
        <v>11234112089.6</v>
      </c>
      <c r="BL172">
        <v>12361096211.700001</v>
      </c>
      <c r="BM172">
        <v>12402260814.6</v>
      </c>
      <c r="BN172">
        <v>14700286003.200001</v>
      </c>
      <c r="BO172">
        <v>17652775747.400002</v>
      </c>
      <c r="BP172">
        <v>19079313500.900002</v>
      </c>
      <c r="BQ172">
        <v>20364236675.799999</v>
      </c>
    </row>
    <row r="173" spans="1:69" x14ac:dyDescent="0.35">
      <c r="A173" t="s">
        <v>438</v>
      </c>
      <c r="B173" t="s">
        <v>195</v>
      </c>
      <c r="C173" t="s">
        <v>362</v>
      </c>
      <c r="D173" t="s">
        <v>493</v>
      </c>
      <c r="O173">
        <v>135209089.90000001</v>
      </c>
      <c r="P173">
        <v>152207137.90000001</v>
      </c>
      <c r="Q173">
        <v>175657679.90000001</v>
      </c>
      <c r="R173">
        <v>215019020.30000001</v>
      </c>
      <c r="S173">
        <v>242448768.90000001</v>
      </c>
      <c r="T173">
        <v>270146842.5</v>
      </c>
      <c r="U173">
        <v>309343465.19999999</v>
      </c>
      <c r="V173">
        <v>460539297.89999998</v>
      </c>
      <c r="W173">
        <v>594691119.5</v>
      </c>
      <c r="X173">
        <v>668979096.10000002</v>
      </c>
      <c r="Y173">
        <v>830099378.39999998</v>
      </c>
      <c r="Z173">
        <v>821549155.70000005</v>
      </c>
      <c r="AA173">
        <v>864818902.89999998</v>
      </c>
      <c r="AB173">
        <v>892447751.89999998</v>
      </c>
      <c r="AC173">
        <v>879965289</v>
      </c>
      <c r="AD173">
        <v>1020836517.7</v>
      </c>
      <c r="AE173">
        <v>1157319300.3</v>
      </c>
      <c r="AF173">
        <v>1366795219.5999999</v>
      </c>
      <c r="AG173">
        <v>1359054452.0999999</v>
      </c>
      <c r="AH173">
        <v>1410101287.7</v>
      </c>
      <c r="AI173">
        <v>1558240456.5</v>
      </c>
      <c r="AJ173">
        <v>1664940523.2</v>
      </c>
      <c r="AK173">
        <v>1708915403.5</v>
      </c>
      <c r="AL173">
        <v>1826231847.5999999</v>
      </c>
      <c r="AM173">
        <v>2021054114.3</v>
      </c>
      <c r="AN173">
        <v>2238776661.5</v>
      </c>
      <c r="AO173">
        <v>2311685185.8000002</v>
      </c>
      <c r="AP173">
        <v>2225560611.3000002</v>
      </c>
      <c r="AQ173">
        <v>2438886276</v>
      </c>
      <c r="AR173">
        <v>2757065362.4000001</v>
      </c>
      <c r="AS173">
        <v>2716150630.5</v>
      </c>
      <c r="AT173">
        <v>2591698365.1999998</v>
      </c>
      <c r="AU173">
        <v>2900916474.8000002</v>
      </c>
      <c r="AV173">
        <v>3111209644.5</v>
      </c>
      <c r="AW173">
        <v>3443607862.5999999</v>
      </c>
      <c r="AX173">
        <v>3195998422.1999998</v>
      </c>
      <c r="AY173">
        <v>870594215.5</v>
      </c>
      <c r="AZ173">
        <v>868946321</v>
      </c>
      <c r="BA173">
        <v>994770539.39999998</v>
      </c>
      <c r="BB173">
        <v>1144449860.3</v>
      </c>
      <c r="BC173">
        <v>1020774253.2</v>
      </c>
      <c r="BD173">
        <v>1213551485.4000001</v>
      </c>
      <c r="BE173">
        <v>1331643879.7</v>
      </c>
      <c r="BF173">
        <v>1562928822.3</v>
      </c>
      <c r="BG173">
        <v>1660844756.5999999</v>
      </c>
      <c r="BH173">
        <v>1722514630.8</v>
      </c>
      <c r="BI173">
        <v>1848081075.2</v>
      </c>
      <c r="BJ173">
        <v>2162398106.1999998</v>
      </c>
      <c r="BK173">
        <v>2265713574.3000002</v>
      </c>
      <c r="BL173">
        <v>2427416965.6999998</v>
      </c>
      <c r="BM173">
        <v>2961709327.1999998</v>
      </c>
      <c r="BN173">
        <v>3197123056.9000001</v>
      </c>
      <c r="BO173">
        <v>3340066801.6999998</v>
      </c>
      <c r="BP173">
        <v>3604152682.6999998</v>
      </c>
      <c r="BQ173">
        <v>3743648285.8000002</v>
      </c>
    </row>
    <row r="174" spans="1:69" x14ac:dyDescent="0.35">
      <c r="A174" t="s">
        <v>364</v>
      </c>
      <c r="B174" t="s">
        <v>480</v>
      </c>
      <c r="C174" t="s">
        <v>362</v>
      </c>
      <c r="D174" t="s">
        <v>493</v>
      </c>
    </row>
    <row r="175" spans="1:69" x14ac:dyDescent="0.35">
      <c r="A175" t="s">
        <v>181</v>
      </c>
      <c r="B175" t="s">
        <v>542</v>
      </c>
      <c r="C175" t="s">
        <v>362</v>
      </c>
      <c r="D175" t="s">
        <v>493</v>
      </c>
    </row>
    <row r="176" spans="1:69" x14ac:dyDescent="0.35">
      <c r="A176" t="s">
        <v>126</v>
      </c>
      <c r="B176" t="s">
        <v>215</v>
      </c>
      <c r="C176" t="s">
        <v>362</v>
      </c>
      <c r="D176" t="s">
        <v>493</v>
      </c>
    </row>
    <row r="177" spans="1:69" x14ac:dyDescent="0.35">
      <c r="A177" t="s">
        <v>590</v>
      </c>
      <c r="B177" t="s">
        <v>161</v>
      </c>
      <c r="C177" t="s">
        <v>362</v>
      </c>
      <c r="D177" t="s">
        <v>493</v>
      </c>
    </row>
    <row r="178" spans="1:69" x14ac:dyDescent="0.35">
      <c r="A178" t="s">
        <v>146</v>
      </c>
      <c r="B178" t="s">
        <v>115</v>
      </c>
      <c r="C178" t="s">
        <v>362</v>
      </c>
      <c r="D178" t="s">
        <v>493</v>
      </c>
      <c r="O178">
        <v>31677128.300000001</v>
      </c>
      <c r="P178">
        <v>41579704.899999999</v>
      </c>
      <c r="Q178">
        <v>54878131.899999999</v>
      </c>
      <c r="R178">
        <v>65143781.299999997</v>
      </c>
      <c r="S178">
        <v>94027452.299999997</v>
      </c>
      <c r="T178">
        <v>114513117.90000001</v>
      </c>
      <c r="U178">
        <v>133362568.90000001</v>
      </c>
      <c r="V178">
        <v>173254567.69999999</v>
      </c>
      <c r="W178">
        <v>609493090.10000002</v>
      </c>
      <c r="X178">
        <v>631712155.60000002</v>
      </c>
      <c r="Y178">
        <v>865702257.10000002</v>
      </c>
      <c r="Z178">
        <v>1024767756.1</v>
      </c>
      <c r="AA178">
        <v>960416774.70000005</v>
      </c>
      <c r="AB178">
        <v>972233736.60000002</v>
      </c>
      <c r="AC178">
        <v>978440332.10000002</v>
      </c>
      <c r="AD178">
        <v>1223458486.0999999</v>
      </c>
      <c r="AE178">
        <v>1443389299.3</v>
      </c>
      <c r="AF178">
        <v>1651886700.4000001</v>
      </c>
      <c r="AG178">
        <v>1700418784</v>
      </c>
      <c r="AH178">
        <v>1528025986.5999999</v>
      </c>
      <c r="AI178">
        <v>1757574146.9000001</v>
      </c>
      <c r="AJ178">
        <v>1526204768.0999999</v>
      </c>
      <c r="AK178">
        <v>1548857816.8</v>
      </c>
      <c r="AL178">
        <v>1574772623.5999999</v>
      </c>
      <c r="AM178">
        <v>1542542790.0999999</v>
      </c>
      <c r="AN178">
        <v>1603602191.8</v>
      </c>
      <c r="AO178">
        <v>1554793033</v>
      </c>
      <c r="AP178">
        <v>1588957267.9000001</v>
      </c>
      <c r="AQ178">
        <v>1686927568.3</v>
      </c>
      <c r="AR178">
        <v>1716840769.4000001</v>
      </c>
      <c r="AS178">
        <v>1721127519.8</v>
      </c>
      <c r="AT178">
        <v>1633337031.5</v>
      </c>
      <c r="AU178">
        <v>1847978005.9000001</v>
      </c>
      <c r="AV178">
        <v>2149675773.6999998</v>
      </c>
      <c r="AW178">
        <v>1975337918.5999999</v>
      </c>
      <c r="AX178">
        <v>1961937154.7</v>
      </c>
      <c r="AY178">
        <v>760592818.29999995</v>
      </c>
      <c r="AZ178">
        <v>1090578795.0999999</v>
      </c>
      <c r="BA178">
        <v>948320310.29999995</v>
      </c>
      <c r="BB178">
        <v>1248816310.0999999</v>
      </c>
      <c r="BC178">
        <v>1533781918.5</v>
      </c>
      <c r="BD178">
        <v>2213013664.5999999</v>
      </c>
      <c r="BE178">
        <v>1783792450.5</v>
      </c>
      <c r="BF178">
        <v>1982335397.2</v>
      </c>
      <c r="BG178">
        <v>2002738488.0999999</v>
      </c>
      <c r="BH178">
        <v>2228591634.6999998</v>
      </c>
      <c r="BI178">
        <v>2511623278.5</v>
      </c>
      <c r="BJ178">
        <v>3035459319.8000002</v>
      </c>
      <c r="BK178">
        <v>3176315504.4000001</v>
      </c>
      <c r="BL178">
        <v>3584099139.8000002</v>
      </c>
      <c r="BM178">
        <v>4549110074</v>
      </c>
      <c r="BN178">
        <v>4966894821.1000004</v>
      </c>
      <c r="BO178">
        <v>5428667300.1000004</v>
      </c>
      <c r="BP178">
        <v>5613719022.6000004</v>
      </c>
      <c r="BQ178">
        <v>5308857136.5</v>
      </c>
    </row>
    <row r="179" spans="1:69" x14ac:dyDescent="0.35">
      <c r="A179" t="s">
        <v>243</v>
      </c>
      <c r="B179" t="s">
        <v>559</v>
      </c>
      <c r="C179" t="s">
        <v>362</v>
      </c>
      <c r="D179" t="s">
        <v>493</v>
      </c>
      <c r="O179">
        <v>836680592.10000002</v>
      </c>
      <c r="P179">
        <v>960364871.10000002</v>
      </c>
      <c r="Q179">
        <v>1081759364.5</v>
      </c>
      <c r="R179">
        <v>1778977495.8</v>
      </c>
      <c r="S179">
        <v>1880722152.3</v>
      </c>
      <c r="T179">
        <v>1687175642.0999999</v>
      </c>
      <c r="U179">
        <v>1337791872.3</v>
      </c>
      <c r="V179">
        <v>3146444249.5999999</v>
      </c>
      <c r="W179">
        <v>5091168447.6999998</v>
      </c>
      <c r="X179">
        <v>6244582441.1999998</v>
      </c>
      <c r="Y179">
        <v>8938210283.2999992</v>
      </c>
      <c r="Z179">
        <v>11445499562.299999</v>
      </c>
      <c r="AA179">
        <v>11992466650.299999</v>
      </c>
      <c r="AB179">
        <v>17576996152.900002</v>
      </c>
      <c r="AC179">
        <v>17783310906.799999</v>
      </c>
      <c r="AD179">
        <v>18655375059.099998</v>
      </c>
      <c r="AE179">
        <v>22215781653.5</v>
      </c>
      <c r="AF179">
        <v>29024891233.200001</v>
      </c>
      <c r="AG179">
        <v>29624118543.400002</v>
      </c>
      <c r="AH179">
        <v>30121991493</v>
      </c>
      <c r="AI179">
        <v>33458483418.099998</v>
      </c>
      <c r="AJ179">
        <v>33526931287.400002</v>
      </c>
      <c r="AK179">
        <v>29018663727.599998</v>
      </c>
      <c r="AL179">
        <v>30699263745.599998</v>
      </c>
      <c r="AM179">
        <v>33092276818.400002</v>
      </c>
      <c r="AN179">
        <v>34094439060.400002</v>
      </c>
      <c r="AO179">
        <v>31414754638.799999</v>
      </c>
      <c r="AP179">
        <v>28467535604</v>
      </c>
      <c r="AQ179">
        <v>30313714707.5</v>
      </c>
      <c r="AR179">
        <v>29095550936.599998</v>
      </c>
      <c r="AS179">
        <v>33514256077.200001</v>
      </c>
      <c r="AT179">
        <v>34976644763.900002</v>
      </c>
      <c r="AU179">
        <v>36779630348.300003</v>
      </c>
      <c r="AV179">
        <v>41856858871.199997</v>
      </c>
      <c r="AW179">
        <v>45910626685.699997</v>
      </c>
      <c r="AX179">
        <v>33654648314.5</v>
      </c>
      <c r="AY179">
        <v>17491682578.5</v>
      </c>
      <c r="AZ179">
        <v>19484330676.5</v>
      </c>
      <c r="BA179">
        <v>20418957892.700001</v>
      </c>
      <c r="BB179">
        <v>22748897639.799999</v>
      </c>
      <c r="BC179">
        <v>29148883008.700001</v>
      </c>
      <c r="BD179">
        <v>34129232146</v>
      </c>
      <c r="BE179">
        <v>39282745538.800003</v>
      </c>
      <c r="BF179">
        <v>42604005424.400002</v>
      </c>
      <c r="BG179">
        <v>46672476310.199997</v>
      </c>
      <c r="BH179">
        <v>45024833871.699997</v>
      </c>
      <c r="BI179">
        <v>43735939488.900002</v>
      </c>
      <c r="BJ179">
        <v>65142821169.800003</v>
      </c>
      <c r="BK179">
        <v>69440288784.600006</v>
      </c>
      <c r="BL179">
        <v>81342753974.699997</v>
      </c>
      <c r="BM179">
        <v>87591245939.399994</v>
      </c>
      <c r="BN179">
        <v>96254706293.5</v>
      </c>
      <c r="BO179">
        <v>103064224482.60001</v>
      </c>
      <c r="BP179">
        <v>102472750412.89999</v>
      </c>
      <c r="BQ179">
        <v>108757630161.5</v>
      </c>
    </row>
    <row r="180" spans="1:69" x14ac:dyDescent="0.35">
      <c r="A180" t="s">
        <v>495</v>
      </c>
      <c r="B180" t="s">
        <v>176</v>
      </c>
      <c r="C180" t="s">
        <v>362</v>
      </c>
      <c r="D180" t="s">
        <v>493</v>
      </c>
      <c r="O180">
        <v>242870748.59999999</v>
      </c>
      <c r="P180">
        <v>295916932.60000002</v>
      </c>
      <c r="Q180">
        <v>354332865.60000002</v>
      </c>
      <c r="R180">
        <v>498244781.60000002</v>
      </c>
      <c r="S180">
        <v>675465603.5</v>
      </c>
      <c r="T180">
        <v>871394018.70000005</v>
      </c>
      <c r="U180">
        <v>962314691.10000002</v>
      </c>
      <c r="V180">
        <v>1355890701.5</v>
      </c>
      <c r="W180">
        <v>1525327856.3</v>
      </c>
      <c r="X180">
        <v>1615169381.3</v>
      </c>
      <c r="Y180">
        <v>2273188106.5999999</v>
      </c>
      <c r="Z180">
        <v>2561916287.3000002</v>
      </c>
      <c r="AA180">
        <v>3037458636.8000002</v>
      </c>
      <c r="AB180">
        <v>4202530072.1999998</v>
      </c>
      <c r="AC180">
        <v>4912584153.1999998</v>
      </c>
      <c r="AD180">
        <v>5880204932.8999996</v>
      </c>
      <c r="AE180">
        <v>6895951891.5</v>
      </c>
      <c r="AF180">
        <v>8091567355.3000002</v>
      </c>
      <c r="AG180">
        <v>8811780896</v>
      </c>
      <c r="AH180">
        <v>9875552769.8999996</v>
      </c>
      <c r="AI180">
        <v>10976880083.200001</v>
      </c>
      <c r="AJ180">
        <v>11128234987.6</v>
      </c>
      <c r="AK180">
        <v>11407262916.9</v>
      </c>
      <c r="AL180">
        <v>11657293343.5</v>
      </c>
      <c r="AM180">
        <v>12406061120.5</v>
      </c>
      <c r="AN180">
        <v>10591398107.200001</v>
      </c>
      <c r="AO180">
        <v>6174328565</v>
      </c>
      <c r="AP180">
        <v>6321398617.3999996</v>
      </c>
      <c r="AQ180">
        <v>6379424177.1999998</v>
      </c>
      <c r="AR180">
        <v>6409337546.3000002</v>
      </c>
      <c r="AS180">
        <v>6822420902</v>
      </c>
      <c r="AT180">
        <v>6387014039</v>
      </c>
      <c r="AU180">
        <v>6440411044</v>
      </c>
      <c r="AV180">
        <v>6854198401.8000002</v>
      </c>
      <c r="AW180">
        <v>5096750020.6999998</v>
      </c>
      <c r="AX180">
        <v>5011294159</v>
      </c>
      <c r="AY180">
        <v>4190303477.0999999</v>
      </c>
      <c r="AZ180">
        <v>4113792029.6999998</v>
      </c>
      <c r="BA180">
        <v>4718042360.1999998</v>
      </c>
      <c r="BB180">
        <v>5923375456.1000004</v>
      </c>
      <c r="BC180">
        <v>7017467446.6000004</v>
      </c>
      <c r="BD180">
        <v>7938152810.6999998</v>
      </c>
      <c r="BE180">
        <v>9154589728.8999996</v>
      </c>
      <c r="BF180">
        <v>10255435645</v>
      </c>
      <c r="BG180">
        <v>10965052288.799999</v>
      </c>
      <c r="BH180">
        <v>11513227717.4</v>
      </c>
      <c r="BI180">
        <v>12218682282.700001</v>
      </c>
      <c r="BJ180">
        <v>12741482690.799999</v>
      </c>
      <c r="BK180">
        <v>13016798421.6</v>
      </c>
      <c r="BL180">
        <v>13682755037.4</v>
      </c>
      <c r="BM180">
        <v>13840341958.200001</v>
      </c>
      <c r="BN180">
        <v>14824686632.9</v>
      </c>
      <c r="BO180">
        <v>15131422389.299999</v>
      </c>
      <c r="BP180">
        <v>15360449736.799999</v>
      </c>
      <c r="BQ180">
        <v>15490530047.6</v>
      </c>
    </row>
    <row r="181" spans="1:69" x14ac:dyDescent="0.35">
      <c r="A181" t="s">
        <v>10</v>
      </c>
      <c r="B181" t="s">
        <v>417</v>
      </c>
      <c r="C181" t="s">
        <v>362</v>
      </c>
      <c r="D181" t="s">
        <v>493</v>
      </c>
    </row>
    <row r="182" spans="1:69" x14ac:dyDescent="0.35">
      <c r="A182" t="s">
        <v>556</v>
      </c>
      <c r="B182" t="s">
        <v>489</v>
      </c>
      <c r="C182" t="s">
        <v>362</v>
      </c>
      <c r="D182" t="s">
        <v>493</v>
      </c>
    </row>
    <row r="183" spans="1:69" x14ac:dyDescent="0.35">
      <c r="A183" t="s">
        <v>173</v>
      </c>
      <c r="B183" t="s">
        <v>588</v>
      </c>
      <c r="C183" t="s">
        <v>362</v>
      </c>
      <c r="D183" t="s">
        <v>493</v>
      </c>
      <c r="O183">
        <v>3800810.8</v>
      </c>
      <c r="P183">
        <v>9157279.5999999996</v>
      </c>
      <c r="Q183">
        <v>12304770.9</v>
      </c>
      <c r="R183">
        <v>20103243.399999999</v>
      </c>
      <c r="S183">
        <v>27553349.5</v>
      </c>
      <c r="T183">
        <v>34017048.899999999</v>
      </c>
      <c r="U183">
        <v>49578186.799999997</v>
      </c>
      <c r="V183">
        <v>100529800</v>
      </c>
      <c r="W183">
        <v>112579824.5</v>
      </c>
      <c r="X183">
        <v>146346992.40000001</v>
      </c>
      <c r="Y183">
        <v>204459231</v>
      </c>
      <c r="Z183">
        <v>278427656.69999999</v>
      </c>
      <c r="AA183">
        <v>352779239</v>
      </c>
      <c r="AB183">
        <v>452414309.5</v>
      </c>
      <c r="AC183">
        <v>470288696.60000002</v>
      </c>
      <c r="AD183">
        <v>589788225.29999995</v>
      </c>
      <c r="AE183">
        <v>743794136.29999995</v>
      </c>
      <c r="AF183">
        <v>985839696.29999995</v>
      </c>
      <c r="AG183">
        <v>1165294504.9000001</v>
      </c>
      <c r="AH183">
        <v>1355746933.8</v>
      </c>
      <c r="AI183">
        <v>1626688626.5</v>
      </c>
      <c r="AJ183">
        <v>1765142177.0999999</v>
      </c>
      <c r="AK183">
        <v>1798082304.9000001</v>
      </c>
      <c r="AL183">
        <v>2003093150.2</v>
      </c>
      <c r="AM183">
        <v>2320287857.8000002</v>
      </c>
      <c r="AN183">
        <v>2409751198.5</v>
      </c>
      <c r="AO183">
        <v>2397938028</v>
      </c>
      <c r="AP183">
        <v>2413357113.6999998</v>
      </c>
      <c r="AQ183">
        <v>2668527138.8000002</v>
      </c>
      <c r="AR183">
        <v>3027783792.5999999</v>
      </c>
      <c r="AS183">
        <v>2874494832.4000001</v>
      </c>
      <c r="AT183">
        <v>2740752757.5999999</v>
      </c>
      <c r="AU183">
        <v>2997587654.5999999</v>
      </c>
      <c r="AV183">
        <v>3213264260.5999999</v>
      </c>
      <c r="AW183">
        <v>3366391763.0999999</v>
      </c>
      <c r="AX183">
        <v>3189016423</v>
      </c>
      <c r="AY183">
        <v>3402732071.5</v>
      </c>
      <c r="AZ183">
        <v>3613195511.4000001</v>
      </c>
      <c r="BA183">
        <v>3696697651.9000001</v>
      </c>
      <c r="BB183">
        <v>3777036974.0999999</v>
      </c>
      <c r="BC183">
        <v>3787483271.6999998</v>
      </c>
      <c r="BD183">
        <v>3826237147.3000002</v>
      </c>
      <c r="BE183">
        <v>3809914765.9000001</v>
      </c>
      <c r="BF183">
        <v>4012919215.6999998</v>
      </c>
      <c r="BG183">
        <v>3980972649</v>
      </c>
      <c r="BH183">
        <v>4142916401.3000002</v>
      </c>
      <c r="BI183">
        <v>4297388214</v>
      </c>
      <c r="BJ183">
        <v>4963402939.1000004</v>
      </c>
      <c r="BK183">
        <v>5510938186.3999996</v>
      </c>
      <c r="BL183">
        <v>6515787783.1000004</v>
      </c>
      <c r="BM183">
        <v>7905810313</v>
      </c>
      <c r="BN183">
        <v>8820883327.7000008</v>
      </c>
      <c r="BO183">
        <v>9183774214.5</v>
      </c>
      <c r="BP183">
        <v>9982808324</v>
      </c>
      <c r="BQ183">
        <v>10152157325.700001</v>
      </c>
    </row>
    <row r="184" spans="1:69" x14ac:dyDescent="0.35">
      <c r="A184" t="s">
        <v>85</v>
      </c>
      <c r="B184" t="s">
        <v>216</v>
      </c>
      <c r="C184" t="s">
        <v>362</v>
      </c>
      <c r="D184" t="s">
        <v>493</v>
      </c>
    </row>
    <row r="185" spans="1:69" x14ac:dyDescent="0.35">
      <c r="A185" t="s">
        <v>455</v>
      </c>
      <c r="B185" t="s">
        <v>236</v>
      </c>
      <c r="C185" t="s">
        <v>362</v>
      </c>
      <c r="D185" t="s">
        <v>493</v>
      </c>
    </row>
    <row r="186" spans="1:69" x14ac:dyDescent="0.35">
      <c r="A186" t="s">
        <v>275</v>
      </c>
      <c r="B186" t="s">
        <v>532</v>
      </c>
      <c r="C186" t="s">
        <v>362</v>
      </c>
      <c r="D186" t="s">
        <v>493</v>
      </c>
    </row>
    <row r="187" spans="1:69" x14ac:dyDescent="0.35">
      <c r="A187" t="s">
        <v>570</v>
      </c>
      <c r="B187" t="s">
        <v>460</v>
      </c>
      <c r="C187" t="s">
        <v>362</v>
      </c>
      <c r="D187" t="s">
        <v>493</v>
      </c>
    </row>
    <row r="188" spans="1:69" x14ac:dyDescent="0.35">
      <c r="A188" t="s">
        <v>568</v>
      </c>
      <c r="B188" t="s">
        <v>338</v>
      </c>
      <c r="C188" t="s">
        <v>362</v>
      </c>
      <c r="D188" t="s">
        <v>493</v>
      </c>
    </row>
    <row r="189" spans="1:69" x14ac:dyDescent="0.35">
      <c r="A189" t="s">
        <v>604</v>
      </c>
      <c r="B189" t="s">
        <v>108</v>
      </c>
      <c r="C189" t="s">
        <v>362</v>
      </c>
      <c r="D189" t="s">
        <v>493</v>
      </c>
      <c r="O189">
        <v>3406742576</v>
      </c>
      <c r="P189">
        <v>3795844722.3000002</v>
      </c>
      <c r="Q189">
        <v>4072098744.3000002</v>
      </c>
      <c r="R189">
        <v>4566895944.1999998</v>
      </c>
      <c r="S189">
        <v>5121326329.1000004</v>
      </c>
      <c r="T189">
        <v>5752876894.8999996</v>
      </c>
      <c r="U189">
        <v>6802351667.8000002</v>
      </c>
      <c r="V189">
        <v>7564124307</v>
      </c>
      <c r="W189">
        <v>8329288878.1000004</v>
      </c>
      <c r="X189">
        <v>8918890624.5</v>
      </c>
      <c r="Y189">
        <v>9931198662.2999992</v>
      </c>
      <c r="Z189">
        <v>10580767699.9</v>
      </c>
      <c r="AA189">
        <v>11703994182.1</v>
      </c>
      <c r="AB189">
        <v>12026223274.4</v>
      </c>
      <c r="AC189">
        <v>12227885011.6</v>
      </c>
      <c r="AD189">
        <v>13464882307</v>
      </c>
      <c r="AE189">
        <v>14954407650.6</v>
      </c>
      <c r="AF189">
        <v>16797670141.1</v>
      </c>
      <c r="AG189">
        <v>17065165352.299999</v>
      </c>
      <c r="AH189">
        <v>18348188708.099998</v>
      </c>
      <c r="AI189">
        <v>20663375831.900002</v>
      </c>
      <c r="AJ189">
        <v>23363317172.700001</v>
      </c>
      <c r="AK189">
        <v>24916921216.900002</v>
      </c>
      <c r="AL189">
        <v>24538518425.400002</v>
      </c>
      <c r="AM189">
        <v>27381870429.099998</v>
      </c>
      <c r="AN189">
        <v>30231991090.700001</v>
      </c>
      <c r="AO189">
        <v>29841837480.799999</v>
      </c>
      <c r="AP189">
        <v>30087535063.700001</v>
      </c>
      <c r="AQ189">
        <v>32302604020.200001</v>
      </c>
      <c r="AR189">
        <v>34182506198.900002</v>
      </c>
      <c r="AS189">
        <v>33101002264.299999</v>
      </c>
      <c r="AT189">
        <v>32359125649.299999</v>
      </c>
      <c r="AU189">
        <v>34301743105.400002</v>
      </c>
      <c r="AV189">
        <v>36987109546.699997</v>
      </c>
      <c r="AW189">
        <v>36879998439.800003</v>
      </c>
      <c r="AX189">
        <v>34521383741.900002</v>
      </c>
      <c r="AY189">
        <v>37659231394.5</v>
      </c>
      <c r="AZ189">
        <v>42532926374.900002</v>
      </c>
      <c r="BA189">
        <v>50112215045.099998</v>
      </c>
      <c r="BB189">
        <v>56926359340.599998</v>
      </c>
      <c r="BC189">
        <v>63407877831.5</v>
      </c>
      <c r="BD189">
        <v>65010917821.699997</v>
      </c>
      <c r="BE189">
        <v>63876676495.300003</v>
      </c>
      <c r="BF189">
        <v>60219473309</v>
      </c>
      <c r="BG189">
        <v>64281642245.599998</v>
      </c>
      <c r="BH189">
        <v>68673371108.599998</v>
      </c>
      <c r="BI189">
        <v>75132689979.399994</v>
      </c>
      <c r="BJ189">
        <v>93080292741.600006</v>
      </c>
      <c r="BK189">
        <v>100120484567.5</v>
      </c>
      <c r="BL189">
        <v>110097413225.2</v>
      </c>
      <c r="BM189">
        <v>117948502847.7</v>
      </c>
      <c r="BN189">
        <v>130752452005.8</v>
      </c>
      <c r="BO189">
        <v>127601482349.2</v>
      </c>
      <c r="BP189">
        <v>131021002940.10001</v>
      </c>
      <c r="BQ189">
        <v>129717513746.7</v>
      </c>
    </row>
    <row r="190" spans="1:69" x14ac:dyDescent="0.35">
      <c r="A190" t="s">
        <v>436</v>
      </c>
      <c r="B190" t="s">
        <v>372</v>
      </c>
      <c r="C190" t="s">
        <v>362</v>
      </c>
      <c r="D190" t="s">
        <v>493</v>
      </c>
    </row>
    <row r="191" spans="1:69" x14ac:dyDescent="0.35">
      <c r="A191" t="s">
        <v>398</v>
      </c>
      <c r="B191" t="s">
        <v>237</v>
      </c>
      <c r="C191" t="s">
        <v>362</v>
      </c>
      <c r="D191" t="s">
        <v>493</v>
      </c>
      <c r="O191">
        <v>3299813044.6999998</v>
      </c>
      <c r="P191">
        <v>3409738680.8000002</v>
      </c>
      <c r="Q191">
        <v>3585308809.5</v>
      </c>
      <c r="R191">
        <v>4023439916.6999998</v>
      </c>
      <c r="S191">
        <v>5380537914</v>
      </c>
      <c r="T191">
        <v>6263823225.1000004</v>
      </c>
      <c r="U191">
        <v>7725087025.3000002</v>
      </c>
      <c r="V191">
        <v>9323170353.5</v>
      </c>
      <c r="W191">
        <v>9864921758.8999996</v>
      </c>
      <c r="X191">
        <v>9416570413.7999992</v>
      </c>
      <c r="Y191">
        <v>9534086343.5</v>
      </c>
      <c r="Z191">
        <v>8742790842.6000004</v>
      </c>
      <c r="AA191">
        <v>10871140798.200001</v>
      </c>
      <c r="AB191">
        <v>11510208723.9</v>
      </c>
      <c r="AC191">
        <v>12325632944.200001</v>
      </c>
      <c r="AD191">
        <v>13049982870.9</v>
      </c>
      <c r="AE191">
        <v>15046004898.799999</v>
      </c>
      <c r="AF191">
        <v>17636125496</v>
      </c>
      <c r="AG191">
        <v>18380470896.900002</v>
      </c>
      <c r="AH191">
        <v>18770828679.799999</v>
      </c>
      <c r="AI191">
        <v>20297695234.200001</v>
      </c>
      <c r="AJ191">
        <v>20804189541.299999</v>
      </c>
      <c r="AK191">
        <v>20421065903.5</v>
      </c>
      <c r="AL191">
        <v>23650210716</v>
      </c>
      <c r="AM191">
        <v>26596519778.799999</v>
      </c>
      <c r="AN191">
        <v>30911667664.700001</v>
      </c>
      <c r="AO191">
        <v>29032988173.400002</v>
      </c>
      <c r="AP191">
        <v>29724003466.900002</v>
      </c>
      <c r="AQ191">
        <v>30581703299.900002</v>
      </c>
      <c r="AR191">
        <v>29361508474.799999</v>
      </c>
      <c r="AS191">
        <v>28834463709.599998</v>
      </c>
      <c r="AT191">
        <v>27722614292</v>
      </c>
      <c r="AU191">
        <v>28445374390.400002</v>
      </c>
      <c r="AV191">
        <v>30221849065.799999</v>
      </c>
      <c r="AW191">
        <v>31742552289.599998</v>
      </c>
      <c r="AX191">
        <v>29513668636</v>
      </c>
      <c r="AY191">
        <v>29295983199.5</v>
      </c>
      <c r="AZ191">
        <v>32239012465.400002</v>
      </c>
      <c r="BA191">
        <v>34719588729.199997</v>
      </c>
      <c r="BB191">
        <v>37389855104.699997</v>
      </c>
      <c r="BC191">
        <v>42153893573.5</v>
      </c>
      <c r="BD191">
        <v>45012107240.099998</v>
      </c>
      <c r="BE191">
        <v>61628878216.699997</v>
      </c>
      <c r="BF191">
        <v>63547800560.900002</v>
      </c>
      <c r="BG191">
        <v>67907395747.300003</v>
      </c>
      <c r="BH191">
        <v>67829892596.800003</v>
      </c>
      <c r="BI191">
        <v>70260218413.699997</v>
      </c>
      <c r="BJ191">
        <v>68257550196.800003</v>
      </c>
      <c r="BK191">
        <v>68737663405.5</v>
      </c>
      <c r="BL191">
        <v>64935891863</v>
      </c>
      <c r="BM191">
        <v>74849100910.600006</v>
      </c>
      <c r="BN191">
        <v>88976755115.600006</v>
      </c>
      <c r="BO191">
        <v>91689317833.100006</v>
      </c>
      <c r="BP191">
        <v>93991708227.399994</v>
      </c>
      <c r="BQ191">
        <v>93268743431.699997</v>
      </c>
    </row>
    <row r="192" spans="1:69" x14ac:dyDescent="0.35">
      <c r="A192" t="s">
        <v>227</v>
      </c>
      <c r="B192" t="s">
        <v>472</v>
      </c>
      <c r="C192" t="s">
        <v>362</v>
      </c>
      <c r="D192" t="s">
        <v>493</v>
      </c>
      <c r="O192">
        <v>2196027768.5999999</v>
      </c>
      <c r="P192">
        <v>2419452684.8000002</v>
      </c>
      <c r="Q192">
        <v>2671171407.0999999</v>
      </c>
      <c r="R192">
        <v>2761258308</v>
      </c>
      <c r="S192">
        <v>3305257925</v>
      </c>
      <c r="T192">
        <v>4170679935.5999999</v>
      </c>
      <c r="U192">
        <v>6039460845</v>
      </c>
      <c r="V192">
        <v>8183427508.3000002</v>
      </c>
      <c r="W192">
        <v>10772164769.299999</v>
      </c>
      <c r="X192">
        <v>13281603751.1</v>
      </c>
      <c r="Y192">
        <v>17417202374.799999</v>
      </c>
      <c r="Z192">
        <v>20785921054.299999</v>
      </c>
      <c r="AA192">
        <v>24412638705.700001</v>
      </c>
      <c r="AB192">
        <v>24211103886.799999</v>
      </c>
      <c r="AC192">
        <v>24356701585.099998</v>
      </c>
      <c r="AD192">
        <v>26637306936.400002</v>
      </c>
      <c r="AE192">
        <v>28204156851.400002</v>
      </c>
      <c r="AF192">
        <v>29784762858.700001</v>
      </c>
      <c r="AG192">
        <v>28932152202.900002</v>
      </c>
      <c r="AH192">
        <v>28652845074.5</v>
      </c>
      <c r="AI192">
        <v>30579850826.599998</v>
      </c>
      <c r="AJ192">
        <v>32493338656.299999</v>
      </c>
      <c r="AK192">
        <v>33219038809.799999</v>
      </c>
      <c r="AL192">
        <v>36142381235</v>
      </c>
      <c r="AM192">
        <v>40249396303.699997</v>
      </c>
      <c r="AN192">
        <v>39371063204.699997</v>
      </c>
      <c r="AO192">
        <v>43993253267.599998</v>
      </c>
      <c r="AP192">
        <v>50698365608.800003</v>
      </c>
      <c r="AQ192">
        <v>53589505356.300003</v>
      </c>
      <c r="AR192">
        <v>58466255807.599998</v>
      </c>
      <c r="AS192">
        <v>58441426798.400002</v>
      </c>
      <c r="AT192">
        <v>58387972865.199997</v>
      </c>
      <c r="AU192">
        <v>60049127095.199997</v>
      </c>
      <c r="AV192">
        <v>62736143449.5</v>
      </c>
      <c r="AW192">
        <v>61123614178.800003</v>
      </c>
      <c r="AX192">
        <v>58669013597.599998</v>
      </c>
      <c r="AY192">
        <v>57585168048.900002</v>
      </c>
      <c r="AZ192">
        <v>59163973066</v>
      </c>
      <c r="BA192">
        <v>58255598052.099998</v>
      </c>
      <c r="BB192">
        <v>55969980626</v>
      </c>
      <c r="BC192">
        <v>65343964857</v>
      </c>
      <c r="BD192">
        <v>65767801994.599998</v>
      </c>
      <c r="BE192">
        <v>68065636191.199997</v>
      </c>
      <c r="BF192">
        <v>76726107578.899994</v>
      </c>
      <c r="BG192">
        <v>78697459572.600006</v>
      </c>
      <c r="BH192">
        <v>79698419388.100006</v>
      </c>
      <c r="BI192">
        <v>75276875923.600006</v>
      </c>
      <c r="BJ192">
        <v>73598354220.399994</v>
      </c>
      <c r="BK192">
        <v>79219780497.699997</v>
      </c>
      <c r="BL192">
        <v>84368372551.899994</v>
      </c>
      <c r="BM192">
        <v>98504239510.899994</v>
      </c>
      <c r="BN192">
        <v>106639207267.5</v>
      </c>
      <c r="BO192">
        <v>110775513064.5</v>
      </c>
      <c r="BP192">
        <v>124472460162.5</v>
      </c>
      <c r="BQ192">
        <v>137018240525.2</v>
      </c>
    </row>
    <row r="193" spans="1:69" x14ac:dyDescent="0.35">
      <c r="A193" t="s">
        <v>555</v>
      </c>
      <c r="B193" t="s">
        <v>307</v>
      </c>
      <c r="C193" t="s">
        <v>362</v>
      </c>
      <c r="D193" t="s">
        <v>493</v>
      </c>
    </row>
    <row r="194" spans="1:69" x14ac:dyDescent="0.35">
      <c r="A194" t="s">
        <v>365</v>
      </c>
      <c r="B194" t="s">
        <v>208</v>
      </c>
      <c r="C194" t="s">
        <v>362</v>
      </c>
      <c r="D194" t="s">
        <v>493</v>
      </c>
      <c r="O194">
        <v>208775480</v>
      </c>
      <c r="P194">
        <v>407176568</v>
      </c>
      <c r="Q194">
        <v>495025775</v>
      </c>
      <c r="R194">
        <v>525578942</v>
      </c>
      <c r="S194">
        <v>505321531</v>
      </c>
      <c r="T194">
        <v>506036560.39999998</v>
      </c>
      <c r="U194">
        <v>520751938.39999998</v>
      </c>
      <c r="V194">
        <v>675812946</v>
      </c>
      <c r="W194">
        <v>583277481.29999995</v>
      </c>
      <c r="X194">
        <v>608638131.39999998</v>
      </c>
      <c r="Y194">
        <v>719001777.70000005</v>
      </c>
      <c r="Z194">
        <v>1184523871.7</v>
      </c>
      <c r="AA194">
        <v>1627595970.5</v>
      </c>
      <c r="AB194">
        <v>1867658923.3</v>
      </c>
      <c r="AC194">
        <v>2029276420</v>
      </c>
      <c r="AD194">
        <v>2112192646.0999999</v>
      </c>
      <c r="AE194">
        <v>1984116631.7</v>
      </c>
      <c r="AF194">
        <v>2275815262.8000002</v>
      </c>
      <c r="AG194">
        <v>2249839538.9000001</v>
      </c>
      <c r="AH194">
        <v>2316234092.0999999</v>
      </c>
      <c r="AI194">
        <v>2593899557.8000002</v>
      </c>
      <c r="AJ194">
        <v>2774125271.9000001</v>
      </c>
      <c r="AK194">
        <v>3788946401.0999999</v>
      </c>
      <c r="AL194">
        <v>3268510852.4000001</v>
      </c>
      <c r="AM194">
        <v>2792345094.1999998</v>
      </c>
      <c r="AN194">
        <v>2505573004.3000002</v>
      </c>
      <c r="AO194">
        <v>2507363358.3000002</v>
      </c>
      <c r="AP194">
        <v>2589508592.5999999</v>
      </c>
      <c r="AQ194">
        <v>2712134542.3000002</v>
      </c>
      <c r="AR194">
        <v>2657223999.3000002</v>
      </c>
      <c r="AS194">
        <v>2325079588</v>
      </c>
      <c r="AT194">
        <v>2047405719.9000001</v>
      </c>
      <c r="AU194">
        <v>1856713721</v>
      </c>
      <c r="AV194">
        <v>1863354062.5</v>
      </c>
      <c r="AW194">
        <v>1769749010.5999999</v>
      </c>
      <c r="AX194">
        <v>1870906689.5999999</v>
      </c>
      <c r="AY194">
        <v>1754570834.5999999</v>
      </c>
      <c r="AZ194">
        <v>1530876142.9000001</v>
      </c>
      <c r="BA194">
        <v>1436380431.4000001</v>
      </c>
      <c r="BB194">
        <v>1768982572.7</v>
      </c>
      <c r="BC194">
        <v>5987009775.3999996</v>
      </c>
      <c r="BD194">
        <v>12584089527.700001</v>
      </c>
      <c r="BE194">
        <v>14922490380</v>
      </c>
      <c r="BF194">
        <v>21609688423.599998</v>
      </c>
      <c r="BG194">
        <v>20428666793.200001</v>
      </c>
      <c r="BH194">
        <v>20386681359.900002</v>
      </c>
      <c r="BI194">
        <v>19247283289.299999</v>
      </c>
      <c r="BJ194">
        <v>17223736382.299999</v>
      </c>
      <c r="BK194">
        <v>17723605372.700001</v>
      </c>
      <c r="BL194">
        <v>18744676569</v>
      </c>
      <c r="BM194">
        <v>18046873709.299999</v>
      </c>
      <c r="BN194">
        <v>19711775407.599998</v>
      </c>
      <c r="BO194">
        <v>19606599470.599998</v>
      </c>
      <c r="BP194">
        <v>15483629098.5</v>
      </c>
      <c r="BQ194">
        <v>12854160687.9</v>
      </c>
    </row>
    <row r="195" spans="1:69" x14ac:dyDescent="0.35">
      <c r="A195" t="s">
        <v>60</v>
      </c>
      <c r="B195" t="s">
        <v>31</v>
      </c>
      <c r="C195" t="s">
        <v>362</v>
      </c>
      <c r="D195" t="s">
        <v>493</v>
      </c>
    </row>
    <row r="196" spans="1:69" x14ac:dyDescent="0.35">
      <c r="A196" t="s">
        <v>189</v>
      </c>
      <c r="B196" t="s">
        <v>235</v>
      </c>
      <c r="C196" t="s">
        <v>362</v>
      </c>
      <c r="D196" t="s">
        <v>493</v>
      </c>
    </row>
    <row r="197" spans="1:69" x14ac:dyDescent="0.35">
      <c r="A197" t="s">
        <v>214</v>
      </c>
      <c r="B197" t="s">
        <v>560</v>
      </c>
      <c r="C197" t="s">
        <v>362</v>
      </c>
      <c r="D197" t="s">
        <v>493</v>
      </c>
    </row>
    <row r="198" spans="1:69" x14ac:dyDescent="0.35">
      <c r="A198" t="s">
        <v>425</v>
      </c>
      <c r="B198" t="s">
        <v>46</v>
      </c>
      <c r="C198" t="s">
        <v>362</v>
      </c>
      <c r="D198" t="s">
        <v>493</v>
      </c>
    </row>
    <row r="199" spans="1:69" x14ac:dyDescent="0.35">
      <c r="A199" t="s">
        <v>347</v>
      </c>
      <c r="B199" t="s">
        <v>155</v>
      </c>
      <c r="C199" t="s">
        <v>362</v>
      </c>
      <c r="D199" t="s">
        <v>493</v>
      </c>
    </row>
    <row r="200" spans="1:69" x14ac:dyDescent="0.35">
      <c r="A200" t="s">
        <v>397</v>
      </c>
      <c r="B200" t="s">
        <v>58</v>
      </c>
      <c r="C200" t="s">
        <v>362</v>
      </c>
      <c r="D200" t="s">
        <v>493</v>
      </c>
      <c r="O200">
        <v>144131808.09999999</v>
      </c>
      <c r="P200">
        <v>162143126.80000001</v>
      </c>
      <c r="Q200">
        <v>184900809.59999999</v>
      </c>
      <c r="R200">
        <v>208205811.19999999</v>
      </c>
      <c r="S200">
        <v>257137393</v>
      </c>
      <c r="T200">
        <v>310687008.80000001</v>
      </c>
      <c r="U200">
        <v>375035112.80000001</v>
      </c>
      <c r="V200">
        <v>555080513.39999998</v>
      </c>
      <c r="W200">
        <v>723510117.60000002</v>
      </c>
      <c r="X200">
        <v>912112477.70000005</v>
      </c>
      <c r="Y200">
        <v>1056127261.9</v>
      </c>
      <c r="Z200">
        <v>1249022955.2</v>
      </c>
      <c r="AA200">
        <v>1396514339</v>
      </c>
      <c r="AB200">
        <v>1510708330.3</v>
      </c>
      <c r="AC200">
        <v>1563667838.5</v>
      </c>
      <c r="AD200">
        <v>1907737935.7</v>
      </c>
      <c r="AE200">
        <v>2173394455.8000002</v>
      </c>
      <c r="AF200">
        <v>2610091518.5</v>
      </c>
      <c r="AG200">
        <v>2433415137.9000001</v>
      </c>
      <c r="AH200">
        <v>2459604124.6999998</v>
      </c>
      <c r="AI200">
        <v>2176252017</v>
      </c>
      <c r="AJ200">
        <v>2129183915.2</v>
      </c>
      <c r="AK200">
        <v>1690940097.4000001</v>
      </c>
      <c r="AL200">
        <v>1649950801.5</v>
      </c>
      <c r="AM200">
        <v>2153330722.1999998</v>
      </c>
      <c r="AN200">
        <v>2617585263.3000002</v>
      </c>
      <c r="AO200">
        <v>2604084334</v>
      </c>
      <c r="AP200">
        <v>2496673813.1999998</v>
      </c>
      <c r="AQ200">
        <v>2826034207.5999999</v>
      </c>
      <c r="AR200">
        <v>3433334794.8000002</v>
      </c>
      <c r="AS200">
        <v>3106035613.6999998</v>
      </c>
      <c r="AT200">
        <v>2867285123.0999999</v>
      </c>
      <c r="AU200">
        <v>3373052129.5</v>
      </c>
      <c r="AV200">
        <v>6798833897.6000004</v>
      </c>
      <c r="AW200">
        <v>7376893644.3000002</v>
      </c>
      <c r="AX200">
        <v>8302216058.3999996</v>
      </c>
      <c r="AY200">
        <v>9565284908.6000004</v>
      </c>
      <c r="AZ200">
        <v>10714075892.799999</v>
      </c>
      <c r="BA200">
        <v>12542605510.299999</v>
      </c>
      <c r="BB200">
        <v>14051476381.700001</v>
      </c>
      <c r="BC200">
        <v>16123448799.299999</v>
      </c>
      <c r="BD200">
        <v>16051060833.799999</v>
      </c>
      <c r="BE200">
        <v>16608641152.799999</v>
      </c>
      <c r="BF200">
        <v>16505154683</v>
      </c>
      <c r="BG200">
        <v>17285275329.700001</v>
      </c>
      <c r="BH200">
        <v>17315302892.099998</v>
      </c>
      <c r="BI200">
        <v>17249495429</v>
      </c>
      <c r="BJ200">
        <v>17066059548.799999</v>
      </c>
      <c r="BK200">
        <v>17201035979.900002</v>
      </c>
      <c r="BL200">
        <v>17873915576.200001</v>
      </c>
      <c r="BM200">
        <v>21121327299.599998</v>
      </c>
      <c r="BN200">
        <v>22658308979.400002</v>
      </c>
      <c r="BO200">
        <v>25239775496.5</v>
      </c>
      <c r="BP200">
        <v>26605367216.200001</v>
      </c>
      <c r="BQ200">
        <v>29963457224.299999</v>
      </c>
    </row>
    <row r="201" spans="1:69" x14ac:dyDescent="0.35">
      <c r="A201" t="s">
        <v>69</v>
      </c>
      <c r="B201" t="s">
        <v>162</v>
      </c>
      <c r="C201" t="s">
        <v>362</v>
      </c>
      <c r="D201" t="s">
        <v>493</v>
      </c>
    </row>
    <row r="202" spans="1:69" x14ac:dyDescent="0.35">
      <c r="A202" t="s">
        <v>105</v>
      </c>
      <c r="B202" t="s">
        <v>169</v>
      </c>
      <c r="C202" t="s">
        <v>362</v>
      </c>
      <c r="D202" t="s">
        <v>493</v>
      </c>
    </row>
    <row r="203" spans="1:69" x14ac:dyDescent="0.35">
      <c r="A203" t="s">
        <v>484</v>
      </c>
      <c r="B203" t="s">
        <v>223</v>
      </c>
      <c r="C203" t="s">
        <v>362</v>
      </c>
      <c r="D203" t="s">
        <v>493</v>
      </c>
    </row>
    <row r="204" spans="1:69" x14ac:dyDescent="0.35">
      <c r="A204" t="s">
        <v>293</v>
      </c>
      <c r="B204" t="s">
        <v>469</v>
      </c>
      <c r="C204" t="s">
        <v>362</v>
      </c>
      <c r="D204" t="s">
        <v>493</v>
      </c>
    </row>
    <row r="205" spans="1:69" x14ac:dyDescent="0.35">
      <c r="A205" t="s">
        <v>504</v>
      </c>
      <c r="B205" t="s">
        <v>18</v>
      </c>
      <c r="C205" t="s">
        <v>362</v>
      </c>
      <c r="D205" t="s">
        <v>493</v>
      </c>
    </row>
    <row r="206" spans="1:69" x14ac:dyDescent="0.35">
      <c r="A206" t="s">
        <v>448</v>
      </c>
      <c r="B206" t="s">
        <v>266</v>
      </c>
      <c r="C206" t="s">
        <v>362</v>
      </c>
      <c r="D206" t="s">
        <v>493</v>
      </c>
    </row>
    <row r="207" spans="1:69" x14ac:dyDescent="0.35">
      <c r="A207" t="s">
        <v>2</v>
      </c>
      <c r="B207" t="s">
        <v>284</v>
      </c>
      <c r="C207" t="s">
        <v>362</v>
      </c>
      <c r="D207" t="s">
        <v>493</v>
      </c>
      <c r="AK207">
        <v>79671384011.600006</v>
      </c>
      <c r="AL207">
        <v>112463242743.2</v>
      </c>
      <c r="AM207">
        <v>122365566099.3</v>
      </c>
      <c r="AN207">
        <v>122074627736.60001</v>
      </c>
      <c r="AO207">
        <v>127025505816.3</v>
      </c>
      <c r="AP207">
        <v>128143868208</v>
      </c>
      <c r="AQ207">
        <v>175719267829</v>
      </c>
      <c r="AR207">
        <v>180043060834.5</v>
      </c>
      <c r="AS207">
        <v>146665107929.79999</v>
      </c>
      <c r="AT207">
        <v>141151650545.70001</v>
      </c>
      <c r="AU207">
        <v>138446858475.70001</v>
      </c>
      <c r="AV207">
        <v>185905051377.89999</v>
      </c>
      <c r="AW207">
        <v>214206935067.29999</v>
      </c>
      <c r="AX207">
        <v>249832035581</v>
      </c>
      <c r="AY207">
        <v>311276773723.70001</v>
      </c>
      <c r="AZ207">
        <v>416328308281.20001</v>
      </c>
      <c r="BA207">
        <v>419311363943.59998</v>
      </c>
      <c r="BB207">
        <v>406462229699.79999</v>
      </c>
      <c r="BC207">
        <v>417886400642.79999</v>
      </c>
      <c r="BD207">
        <v>544355500577.79999</v>
      </c>
      <c r="BE207">
        <v>591836363065.80005</v>
      </c>
      <c r="BF207">
        <v>668513124292.19995</v>
      </c>
      <c r="BG207">
        <v>554415745561.19995</v>
      </c>
      <c r="BH207">
        <v>492191137727.20001</v>
      </c>
      <c r="BI207">
        <v>535225173047.29999</v>
      </c>
      <c r="BJ207">
        <v>519202537324.59998</v>
      </c>
      <c r="BK207">
        <v>477785389198.20001</v>
      </c>
      <c r="BL207">
        <v>485793305491.70001</v>
      </c>
      <c r="BM207">
        <v>460933940334.79999</v>
      </c>
      <c r="BN207">
        <v>472158073713</v>
      </c>
      <c r="BO207">
        <v>376117000821.90002</v>
      </c>
    </row>
    <row r="208" spans="1:69" x14ac:dyDescent="0.35">
      <c r="A208" t="s">
        <v>217</v>
      </c>
      <c r="B208" t="s">
        <v>75</v>
      </c>
      <c r="C208" t="s">
        <v>362</v>
      </c>
      <c r="D208" t="s">
        <v>493</v>
      </c>
      <c r="O208">
        <v>4878977.4000000004</v>
      </c>
      <c r="P208">
        <v>1998751.4</v>
      </c>
      <c r="Q208">
        <v>3384478.7</v>
      </c>
      <c r="R208">
        <v>7914015.2999999998</v>
      </c>
      <c r="S208">
        <v>12310096.699999999</v>
      </c>
      <c r="T208">
        <v>24074478.199999999</v>
      </c>
      <c r="U208">
        <v>47677144.200000003</v>
      </c>
      <c r="V208">
        <v>87491537.900000006</v>
      </c>
      <c r="W208">
        <v>126802922</v>
      </c>
      <c r="X208">
        <v>156078453.5</v>
      </c>
      <c r="Y208">
        <v>189831300.69999999</v>
      </c>
      <c r="Z208">
        <v>196579659</v>
      </c>
      <c r="AA208">
        <v>218308574.30000001</v>
      </c>
      <c r="AB208">
        <v>240503861.80000001</v>
      </c>
      <c r="AC208">
        <v>290096525.80000001</v>
      </c>
      <c r="AD208">
        <v>365597855.89999998</v>
      </c>
      <c r="AE208">
        <v>451264931.10000002</v>
      </c>
      <c r="AF208">
        <v>605111630.70000005</v>
      </c>
      <c r="AG208">
        <v>653567381.89999998</v>
      </c>
      <c r="AH208">
        <v>623297105</v>
      </c>
      <c r="AI208">
        <v>711728808</v>
      </c>
      <c r="AJ208">
        <v>809899702.60000002</v>
      </c>
      <c r="AK208">
        <v>857063267.20000005</v>
      </c>
      <c r="AL208">
        <v>908962809.20000005</v>
      </c>
      <c r="AM208">
        <v>955151668.60000002</v>
      </c>
      <c r="AN208">
        <v>1032504216.9</v>
      </c>
      <c r="AO208">
        <v>1045357833.6</v>
      </c>
      <c r="AP208">
        <v>1112854511.5999999</v>
      </c>
      <c r="AQ208">
        <v>1227864434.5</v>
      </c>
      <c r="AR208">
        <v>1311799009.3</v>
      </c>
      <c r="AS208">
        <v>1289758077.5999999</v>
      </c>
      <c r="AT208">
        <v>1299040552.2</v>
      </c>
      <c r="AU208">
        <v>1452031421.5</v>
      </c>
      <c r="AV208">
        <v>1555052246.9000001</v>
      </c>
      <c r="AW208">
        <v>1670716289.3</v>
      </c>
      <c r="AX208">
        <v>1526467033.2</v>
      </c>
      <c r="AY208">
        <v>433571511</v>
      </c>
      <c r="AZ208">
        <v>619217476.89999998</v>
      </c>
      <c r="BA208">
        <v>928908920.70000005</v>
      </c>
      <c r="BB208">
        <v>1101366314.5999999</v>
      </c>
      <c r="BC208">
        <v>1233314075.5</v>
      </c>
      <c r="BD208">
        <v>1460707197.2</v>
      </c>
      <c r="BE208">
        <v>1814518289.8</v>
      </c>
      <c r="BF208">
        <v>2314567423.3000002</v>
      </c>
      <c r="BG208">
        <v>2909860018.3000002</v>
      </c>
      <c r="BH208">
        <v>3451961693</v>
      </c>
      <c r="BI208">
        <v>4318716827.6000004</v>
      </c>
      <c r="BJ208">
        <v>5076087515.8000002</v>
      </c>
      <c r="BK208">
        <v>5681081205.8999996</v>
      </c>
      <c r="BL208">
        <v>6514940151.8000002</v>
      </c>
      <c r="BM208">
        <v>8193642650.5</v>
      </c>
      <c r="BN208">
        <v>9317675644.7999992</v>
      </c>
      <c r="BO208">
        <v>9690063879.8999996</v>
      </c>
      <c r="BP208">
        <v>11383983796.799999</v>
      </c>
      <c r="BQ208">
        <v>13050400791.1</v>
      </c>
    </row>
    <row r="209" spans="1:69" x14ac:dyDescent="0.35">
      <c r="A209" t="s">
        <v>72</v>
      </c>
      <c r="B209" t="s">
        <v>102</v>
      </c>
      <c r="C209" t="s">
        <v>362</v>
      </c>
      <c r="D209" t="s">
        <v>493</v>
      </c>
      <c r="O209">
        <v>8864600372.5999985</v>
      </c>
      <c r="P209">
        <v>9858136388.9000015</v>
      </c>
      <c r="Q209">
        <v>10742438221.999998</v>
      </c>
      <c r="R209">
        <v>12115452982.899998</v>
      </c>
      <c r="S209">
        <v>14765754494.5</v>
      </c>
      <c r="T209">
        <v>16397957340.799999</v>
      </c>
      <c r="U209">
        <v>17571772623.799999</v>
      </c>
      <c r="V209">
        <v>18995270633.799999</v>
      </c>
      <c r="W209">
        <v>20843504758.599998</v>
      </c>
      <c r="X209">
        <v>22878809153.299999</v>
      </c>
      <c r="Y209">
        <v>26604841460.800003</v>
      </c>
      <c r="Z209">
        <v>29248862555.799995</v>
      </c>
      <c r="AA209">
        <v>34934212438.699997</v>
      </c>
      <c r="AB209">
        <v>39417423701.699997</v>
      </c>
      <c r="AC209">
        <v>41859960684.599998</v>
      </c>
      <c r="AD209">
        <v>49691203716.900002</v>
      </c>
      <c r="AE209">
        <v>57743394762.800011</v>
      </c>
      <c r="AF209">
        <v>69016212072</v>
      </c>
      <c r="AG209">
        <v>76077758255.199997</v>
      </c>
      <c r="AH209">
        <v>91104240740.399994</v>
      </c>
      <c r="AI209">
        <v>103419011551.79999</v>
      </c>
      <c r="AJ209">
        <v>106363466334.10002</v>
      </c>
      <c r="AK209">
        <v>109661664592.59999</v>
      </c>
      <c r="AL209">
        <v>114570234065.3</v>
      </c>
      <c r="AM209">
        <v>123898108392.40002</v>
      </c>
      <c r="AN209">
        <v>120609609332.2</v>
      </c>
      <c r="AO209">
        <v>120113097348.49998</v>
      </c>
      <c r="AP209">
        <v>119127693347.29999</v>
      </c>
      <c r="AQ209">
        <v>125931543732.00002</v>
      </c>
      <c r="AR209">
        <v>129611281662.00002</v>
      </c>
      <c r="AS209">
        <v>129270994189.79999</v>
      </c>
      <c r="AT209">
        <v>126677513858.30002</v>
      </c>
      <c r="AU209">
        <v>136205615078.8</v>
      </c>
      <c r="AV209">
        <v>152050803988</v>
      </c>
      <c r="AW209">
        <v>159266348160.60001</v>
      </c>
      <c r="AX209">
        <v>155206573651.70001</v>
      </c>
      <c r="AY209">
        <v>196217275055.79996</v>
      </c>
      <c r="AZ209">
        <v>244928688398.70001</v>
      </c>
      <c r="BA209">
        <v>272316111545.39999</v>
      </c>
      <c r="BB209">
        <v>307140598439.59998</v>
      </c>
      <c r="BC209">
        <v>344319309197.79999</v>
      </c>
      <c r="BD209">
        <v>393018174246.49994</v>
      </c>
      <c r="BE209">
        <v>463666543605.40002</v>
      </c>
      <c r="BF209">
        <v>505681591938.00006</v>
      </c>
      <c r="BG209">
        <v>542065692466.90002</v>
      </c>
      <c r="BH209">
        <v>568786803490.80005</v>
      </c>
      <c r="BI209">
        <v>551598468042.80005</v>
      </c>
      <c r="BJ209">
        <v>622547524702.59985</v>
      </c>
      <c r="BK209">
        <v>641705911519.29993</v>
      </c>
      <c r="BL209">
        <v>691598860430.30005</v>
      </c>
      <c r="BM209">
        <v>710209157865.69995</v>
      </c>
      <c r="BN209">
        <v>778395869475.3999</v>
      </c>
      <c r="BO209">
        <v>787514906171.80005</v>
      </c>
      <c r="BP209">
        <v>826721172609.5</v>
      </c>
      <c r="BQ209">
        <v>896015145725.1001</v>
      </c>
    </row>
    <row r="210" spans="1:69" x14ac:dyDescent="0.35">
      <c r="A210" t="s">
        <v>384</v>
      </c>
      <c r="B210" t="s">
        <v>197</v>
      </c>
      <c r="C210" t="s">
        <v>362</v>
      </c>
      <c r="D210" t="s">
        <v>493</v>
      </c>
    </row>
    <row r="211" spans="1:69" x14ac:dyDescent="0.35">
      <c r="A211" t="s">
        <v>185</v>
      </c>
      <c r="B211" t="s">
        <v>373</v>
      </c>
      <c r="C211" t="s">
        <v>362</v>
      </c>
      <c r="D211" t="s">
        <v>493</v>
      </c>
      <c r="O211">
        <v>385062510.60000002</v>
      </c>
      <c r="P211">
        <v>395962358</v>
      </c>
      <c r="Q211">
        <v>452076898.30000001</v>
      </c>
      <c r="R211">
        <v>564428703.60000002</v>
      </c>
      <c r="S211">
        <v>1136481106.0999999</v>
      </c>
      <c r="T211">
        <v>1598563165.3</v>
      </c>
      <c r="U211">
        <v>2087109291.2</v>
      </c>
      <c r="V211">
        <v>2620862387</v>
      </c>
      <c r="W211">
        <v>3159023632.6999998</v>
      </c>
      <c r="X211">
        <v>4077980153.1999998</v>
      </c>
      <c r="Y211">
        <v>5176866635.3000002</v>
      </c>
      <c r="Z211">
        <v>6193993918.6000004</v>
      </c>
      <c r="AA211">
        <v>7169372761.6000004</v>
      </c>
      <c r="AB211">
        <v>7506202442.6000004</v>
      </c>
      <c r="AC211">
        <v>8480412476.1000004</v>
      </c>
      <c r="AD211">
        <v>8955218074.7999992</v>
      </c>
      <c r="AE211">
        <v>9631230107.2000008</v>
      </c>
      <c r="AF211">
        <v>11248637748.6</v>
      </c>
      <c r="AG211">
        <v>11530990242.799999</v>
      </c>
      <c r="AH211">
        <v>13359370988.200001</v>
      </c>
      <c r="AI211">
        <v>14798052810.299999</v>
      </c>
      <c r="AJ211">
        <v>15298882978.4</v>
      </c>
      <c r="AK211">
        <v>15558414380.799999</v>
      </c>
      <c r="AL211">
        <v>15979632963.1</v>
      </c>
      <c r="AM211">
        <v>17096156407.1</v>
      </c>
      <c r="AN211">
        <v>17816478183.099998</v>
      </c>
      <c r="AO211">
        <v>16971980942</v>
      </c>
      <c r="AP211">
        <v>16326140589.200001</v>
      </c>
      <c r="AQ211">
        <v>16843023940.700001</v>
      </c>
      <c r="AR211">
        <v>16205567433.6</v>
      </c>
      <c r="AS211">
        <v>16097061560.299999</v>
      </c>
      <c r="AT211">
        <v>15031932328.700001</v>
      </c>
      <c r="AU211">
        <v>16154779698.799999</v>
      </c>
      <c r="AV211">
        <v>17349202470</v>
      </c>
      <c r="AW211">
        <v>18404623839.799999</v>
      </c>
      <c r="AX211">
        <v>17670919956.200001</v>
      </c>
      <c r="AY211">
        <v>18579233641.900002</v>
      </c>
      <c r="AZ211">
        <v>20006622120.200001</v>
      </c>
      <c r="BA211">
        <v>20583833869.799999</v>
      </c>
      <c r="BB211">
        <v>21359139483</v>
      </c>
      <c r="BC211">
        <v>22592936139</v>
      </c>
      <c r="BD211">
        <v>21460776765.5</v>
      </c>
      <c r="BE211">
        <v>22078256122.200001</v>
      </c>
      <c r="BF211">
        <v>22721571815.799999</v>
      </c>
      <c r="BG211">
        <v>21971930557.200001</v>
      </c>
      <c r="BH211">
        <v>21657638751.400002</v>
      </c>
      <c r="BI211">
        <v>21361100515</v>
      </c>
      <c r="BJ211">
        <v>21969836080.400002</v>
      </c>
      <c r="BK211">
        <v>21804346688.200001</v>
      </c>
      <c r="BL211">
        <v>22843739036.900002</v>
      </c>
      <c r="BM211">
        <v>23811151810.299999</v>
      </c>
      <c r="BN211">
        <v>22976037485.200001</v>
      </c>
      <c r="BO211">
        <v>22440226840.5</v>
      </c>
      <c r="BP211">
        <v>22580297676.700001</v>
      </c>
      <c r="BQ211">
        <v>22020660462.5</v>
      </c>
    </row>
    <row r="212" spans="1:69" x14ac:dyDescent="0.35">
      <c r="A212" t="s">
        <v>25</v>
      </c>
      <c r="B212" t="s">
        <v>454</v>
      </c>
      <c r="C212" t="s">
        <v>362</v>
      </c>
      <c r="D212" t="s">
        <v>493</v>
      </c>
      <c r="O212">
        <v>145252948.40000001</v>
      </c>
      <c r="P212">
        <v>152510983.40000001</v>
      </c>
      <c r="Q212">
        <v>161630904.09999999</v>
      </c>
      <c r="R212">
        <v>199394700.59999999</v>
      </c>
      <c r="S212">
        <v>265053301.30000001</v>
      </c>
      <c r="T212">
        <v>349089898.5</v>
      </c>
      <c r="U212">
        <v>409699389</v>
      </c>
      <c r="V212">
        <v>628096050.20000005</v>
      </c>
      <c r="W212">
        <v>894933930.70000005</v>
      </c>
      <c r="X212">
        <v>1122627355.0999999</v>
      </c>
      <c r="Y212">
        <v>1473265666.4000001</v>
      </c>
      <c r="Z212">
        <v>1670746375.5999999</v>
      </c>
      <c r="AA212">
        <v>1859912163</v>
      </c>
      <c r="AB212">
        <v>2072975337.0999999</v>
      </c>
      <c r="AC212">
        <v>2197164471.1999998</v>
      </c>
      <c r="AD212">
        <v>2559359017.9000001</v>
      </c>
      <c r="AE212">
        <v>3230709274.4000001</v>
      </c>
      <c r="AF212">
        <v>4036586047.8000002</v>
      </c>
      <c r="AG212">
        <v>3893072265.5</v>
      </c>
      <c r="AH212">
        <v>3278516015.5</v>
      </c>
      <c r="AI212">
        <v>3750339025.9000001</v>
      </c>
      <c r="AJ212">
        <v>3589290724.1999998</v>
      </c>
      <c r="AK212">
        <v>3684277264.1999998</v>
      </c>
      <c r="AL212">
        <v>3843451727.8000002</v>
      </c>
      <c r="AM212">
        <v>3697792446.0999999</v>
      </c>
      <c r="AN212">
        <v>3915938299.6999998</v>
      </c>
      <c r="AO212">
        <v>3786088622.4000001</v>
      </c>
      <c r="AP212">
        <v>3805574682.5999999</v>
      </c>
      <c r="AQ212">
        <v>4096776592.0999999</v>
      </c>
      <c r="AR212">
        <v>4000850002.5999999</v>
      </c>
      <c r="AS212">
        <v>3653475930.9000001</v>
      </c>
      <c r="AT212">
        <v>3700965274.5</v>
      </c>
      <c r="AU212">
        <v>4118750354.5999999</v>
      </c>
      <c r="AV212">
        <v>4397912285.1999998</v>
      </c>
      <c r="AW212">
        <v>3939186585.9000001</v>
      </c>
      <c r="AX212">
        <v>3860802578.6999998</v>
      </c>
      <c r="AY212">
        <v>1935468310.4000001</v>
      </c>
      <c r="AZ212">
        <v>2584601135</v>
      </c>
      <c r="BA212">
        <v>2849818625.0999999</v>
      </c>
      <c r="BB212">
        <v>3719735198.6999998</v>
      </c>
      <c r="BC212">
        <v>4648723571.6999998</v>
      </c>
      <c r="BD212">
        <v>5802042499.8999996</v>
      </c>
      <c r="BE212">
        <v>7105327014.3000002</v>
      </c>
      <c r="BF212">
        <v>8174836125.8999996</v>
      </c>
      <c r="BG212">
        <v>10754111100.6</v>
      </c>
      <c r="BH212">
        <v>10470479738.4</v>
      </c>
      <c r="BI212">
        <v>11454854863.9</v>
      </c>
      <c r="BJ212">
        <v>14232312903.4</v>
      </c>
      <c r="BK212">
        <v>20031136617.5</v>
      </c>
      <c r="BL212">
        <v>20812048599.599998</v>
      </c>
      <c r="BM212">
        <v>26017274799</v>
      </c>
      <c r="BN212">
        <v>30676437909.5</v>
      </c>
      <c r="BO212">
        <v>35581328119.699997</v>
      </c>
      <c r="BP212">
        <v>45458235461.199997</v>
      </c>
      <c r="BQ212">
        <v>47146494529.5</v>
      </c>
    </row>
    <row r="213" spans="1:69" x14ac:dyDescent="0.35">
      <c r="A213" t="s">
        <v>409</v>
      </c>
      <c r="B213" t="s">
        <v>66</v>
      </c>
      <c r="C213" t="s">
        <v>362</v>
      </c>
      <c r="D213" t="s">
        <v>493</v>
      </c>
    </row>
    <row r="214" spans="1:69" x14ac:dyDescent="0.35">
      <c r="A214" t="s">
        <v>81</v>
      </c>
      <c r="B214" t="s">
        <v>254</v>
      </c>
      <c r="C214" t="s">
        <v>362</v>
      </c>
      <c r="D214" t="s">
        <v>493</v>
      </c>
      <c r="W214">
        <v>11479143.5</v>
      </c>
      <c r="X214">
        <v>13761784</v>
      </c>
      <c r="Y214">
        <v>19399965</v>
      </c>
      <c r="Z214">
        <v>23416124</v>
      </c>
      <c r="AA214">
        <v>28028049.199999999</v>
      </c>
      <c r="AB214">
        <v>34345140.299999997</v>
      </c>
      <c r="AC214">
        <v>44042054.200000003</v>
      </c>
      <c r="AD214">
        <v>65542894</v>
      </c>
      <c r="AE214">
        <v>76820063.099999994</v>
      </c>
      <c r="AF214">
        <v>97512652.700000003</v>
      </c>
      <c r="AG214">
        <v>103661460.7</v>
      </c>
      <c r="AH214">
        <v>99982954</v>
      </c>
      <c r="AI214">
        <v>120500491.40000001</v>
      </c>
      <c r="AJ214">
        <v>129466452.59999999</v>
      </c>
      <c r="AK214">
        <v>94291522.099999994</v>
      </c>
      <c r="AL214">
        <v>150544684.30000001</v>
      </c>
      <c r="AM214">
        <v>154928415.69999999</v>
      </c>
      <c r="AN214">
        <v>158741508.5</v>
      </c>
      <c r="AO214">
        <v>147494744.30000001</v>
      </c>
      <c r="AP214">
        <v>139946900.80000001</v>
      </c>
      <c r="AQ214">
        <v>154585730.69999999</v>
      </c>
      <c r="AR214">
        <v>165883917</v>
      </c>
      <c r="AS214">
        <v>156207110.5</v>
      </c>
      <c r="AT214">
        <v>164030802.80000001</v>
      </c>
      <c r="AU214">
        <v>180737376.69999999</v>
      </c>
      <c r="AV214">
        <v>181240395</v>
      </c>
      <c r="AW214">
        <v>179639740</v>
      </c>
      <c r="AX214">
        <v>167389191.59999999</v>
      </c>
      <c r="AY214">
        <v>174423711.09999999</v>
      </c>
      <c r="AZ214">
        <v>178330553.80000001</v>
      </c>
      <c r="BA214">
        <v>166904390.59999999</v>
      </c>
      <c r="BB214">
        <v>172447071.59999999</v>
      </c>
      <c r="BC214">
        <v>230756584.90000001</v>
      </c>
      <c r="BD214">
        <v>257503829.40000001</v>
      </c>
      <c r="BE214">
        <v>228146820.30000001</v>
      </c>
      <c r="BF214">
        <v>203970814.59999999</v>
      </c>
      <c r="BG214">
        <v>187516688.30000001</v>
      </c>
      <c r="BH214">
        <v>207462428.90000001</v>
      </c>
      <c r="BI214">
        <v>263838572.30000001</v>
      </c>
      <c r="BJ214">
        <v>322629656.19999999</v>
      </c>
      <c r="BK214">
        <v>316761174.19999999</v>
      </c>
      <c r="BL214">
        <v>304960708.80000001</v>
      </c>
      <c r="BM214">
        <v>322597088.89999998</v>
      </c>
      <c r="BN214">
        <v>448610953</v>
      </c>
      <c r="BO214">
        <v>477369215.19999999</v>
      </c>
      <c r="BP214">
        <v>527817629.5</v>
      </c>
      <c r="BQ214">
        <v>596145038</v>
      </c>
    </row>
    <row r="215" spans="1:69" x14ac:dyDescent="0.35">
      <c r="A215" t="s">
        <v>574</v>
      </c>
      <c r="B215" t="s">
        <v>524</v>
      </c>
      <c r="C215" t="s">
        <v>362</v>
      </c>
      <c r="D215" t="s">
        <v>493</v>
      </c>
      <c r="O215">
        <v>61400031.700000003</v>
      </c>
      <c r="P215">
        <v>111055280.8</v>
      </c>
      <c r="Q215">
        <v>119385359.40000001</v>
      </c>
      <c r="R215">
        <v>141780896.40000001</v>
      </c>
      <c r="S215">
        <v>192934915.59999999</v>
      </c>
      <c r="T215">
        <v>204952159.90000001</v>
      </c>
      <c r="U215">
        <v>233371952.30000001</v>
      </c>
      <c r="V215">
        <v>289671338.30000001</v>
      </c>
      <c r="W215">
        <v>346957175.30000001</v>
      </c>
      <c r="X215">
        <v>420277110.60000002</v>
      </c>
      <c r="Y215">
        <v>484856463.39999998</v>
      </c>
      <c r="Z215">
        <v>603585822.89999998</v>
      </c>
      <c r="AA215">
        <v>648424257.20000005</v>
      </c>
      <c r="AB215">
        <v>648742644.10000002</v>
      </c>
      <c r="AC215">
        <v>620429061</v>
      </c>
      <c r="AD215">
        <v>712222501</v>
      </c>
      <c r="AE215">
        <v>872673735.10000002</v>
      </c>
      <c r="AF215">
        <v>1036088193.5</v>
      </c>
      <c r="AG215">
        <v>1036485425.2</v>
      </c>
      <c r="AH215">
        <v>1089991403.4000001</v>
      </c>
      <c r="AI215">
        <v>1196563740.7</v>
      </c>
      <c r="AJ215">
        <v>1271189256.5999999</v>
      </c>
      <c r="AK215">
        <v>1390152937.8</v>
      </c>
      <c r="AL215">
        <v>1556470569.5999999</v>
      </c>
      <c r="AM215">
        <v>1557983211.5</v>
      </c>
      <c r="AN215">
        <v>1249606744.8</v>
      </c>
      <c r="AO215">
        <v>1241837537.9000001</v>
      </c>
      <c r="AP215">
        <v>1200047496.0999999</v>
      </c>
      <c r="AQ215">
        <v>1314139190.3</v>
      </c>
      <c r="AR215">
        <v>1319225620.5999999</v>
      </c>
      <c r="AS215">
        <v>1248363708.5999999</v>
      </c>
      <c r="AT215">
        <v>1256749338.8</v>
      </c>
      <c r="AU215">
        <v>1408416911.2</v>
      </c>
      <c r="AV215">
        <v>1575774381.0999999</v>
      </c>
      <c r="AW215">
        <v>1683344084.8</v>
      </c>
      <c r="AX215">
        <v>1804606614.0999999</v>
      </c>
      <c r="AY215">
        <v>1528631481.5</v>
      </c>
      <c r="AZ215">
        <v>551066958.20000005</v>
      </c>
      <c r="BA215">
        <v>633810297.60000002</v>
      </c>
      <c r="BB215">
        <v>856852310.39999998</v>
      </c>
      <c r="BC215">
        <v>931127139.29999995</v>
      </c>
      <c r="BD215">
        <v>1050427525.8</v>
      </c>
      <c r="BE215">
        <v>1335231392.5</v>
      </c>
      <c r="BF215">
        <v>1399720774.9000001</v>
      </c>
      <c r="BG215">
        <v>1433230470.4000001</v>
      </c>
      <c r="BH215">
        <v>1558062042.0999999</v>
      </c>
      <c r="BI215">
        <v>1624480861.3</v>
      </c>
      <c r="BJ215">
        <v>1794303621.9000001</v>
      </c>
      <c r="BK215">
        <v>1833287511.4000001</v>
      </c>
      <c r="BL215">
        <v>1930475456.2</v>
      </c>
      <c r="BM215">
        <v>2195562997.5</v>
      </c>
      <c r="BN215">
        <v>2531912460.5999999</v>
      </c>
      <c r="BO215">
        <v>2401417378.0999999</v>
      </c>
      <c r="BP215">
        <v>2403103683.5</v>
      </c>
      <c r="BQ215">
        <v>2329744049.4000001</v>
      </c>
    </row>
    <row r="216" spans="1:69" x14ac:dyDescent="0.35">
      <c r="A216" t="s">
        <v>465</v>
      </c>
      <c r="B216" t="s">
        <v>76</v>
      </c>
      <c r="C216" t="s">
        <v>362</v>
      </c>
      <c r="D216" t="s">
        <v>493</v>
      </c>
      <c r="O216">
        <v>205547537.19999999</v>
      </c>
      <c r="P216">
        <v>230545489.69999999</v>
      </c>
      <c r="Q216">
        <v>277866666.69999999</v>
      </c>
      <c r="R216">
        <v>282878601.10000002</v>
      </c>
      <c r="S216">
        <v>419353322.80000001</v>
      </c>
      <c r="T216">
        <v>491365106.19999999</v>
      </c>
      <c r="U216">
        <v>567663297.60000002</v>
      </c>
      <c r="V216">
        <v>813716218</v>
      </c>
      <c r="W216">
        <v>998400248.5</v>
      </c>
      <c r="X216">
        <v>973789596.70000005</v>
      </c>
      <c r="Y216">
        <v>996824512.70000005</v>
      </c>
      <c r="Z216">
        <v>1219725516.4000001</v>
      </c>
      <c r="AA216">
        <v>1535580026.8</v>
      </c>
      <c r="AB216">
        <v>1840051299.4000001</v>
      </c>
      <c r="AC216">
        <v>1927867239.5</v>
      </c>
      <c r="AD216">
        <v>1947465463</v>
      </c>
      <c r="AE216">
        <v>1955293877.5</v>
      </c>
      <c r="AF216">
        <v>2073829069</v>
      </c>
      <c r="AG216">
        <v>2098775766.3</v>
      </c>
      <c r="AH216">
        <v>2171656069.5999999</v>
      </c>
      <c r="AI216">
        <v>2232089054.5999999</v>
      </c>
      <c r="AJ216">
        <v>2272547389.6999998</v>
      </c>
      <c r="AK216">
        <v>2346752650.1999998</v>
      </c>
      <c r="AL216">
        <v>1992942227.9000001</v>
      </c>
      <c r="AM216">
        <v>2163863049.9000001</v>
      </c>
      <c r="AN216">
        <v>2569443217.6999998</v>
      </c>
      <c r="AO216">
        <v>2872513549.0999999</v>
      </c>
      <c r="AP216">
        <v>3203304451.5999999</v>
      </c>
      <c r="AQ216">
        <v>3310661338.1999998</v>
      </c>
      <c r="AR216">
        <v>3762995865.5</v>
      </c>
      <c r="AS216">
        <v>4535064825</v>
      </c>
      <c r="AT216">
        <v>5344553477.6999998</v>
      </c>
      <c r="AU216">
        <v>6114021552.3000002</v>
      </c>
      <c r="AV216">
        <v>8616503266.2000008</v>
      </c>
      <c r="AW216">
        <v>9147790266.3999996</v>
      </c>
      <c r="AX216">
        <v>9621574748.2999992</v>
      </c>
      <c r="AY216">
        <v>10004564795.6</v>
      </c>
      <c r="AZ216">
        <v>9864898765.1000004</v>
      </c>
      <c r="BA216">
        <v>10688436435.5</v>
      </c>
      <c r="BB216">
        <v>10405779193</v>
      </c>
      <c r="BC216">
        <v>11495710496.5</v>
      </c>
      <c r="BD216">
        <v>12729163388.5</v>
      </c>
      <c r="BE216">
        <v>13548206071</v>
      </c>
      <c r="BF216">
        <v>14131937323.299999</v>
      </c>
      <c r="BG216">
        <v>15173875769.4</v>
      </c>
      <c r="BH216">
        <v>15604154313.200001</v>
      </c>
      <c r="BI216">
        <v>16582870003.6</v>
      </c>
      <c r="BJ216">
        <v>17192280768.200001</v>
      </c>
      <c r="BK216">
        <v>16686606483.9</v>
      </c>
      <c r="BL216">
        <v>17368634891.599998</v>
      </c>
      <c r="BM216">
        <v>18485326634.200001</v>
      </c>
      <c r="BN216">
        <v>20341989714.599998</v>
      </c>
      <c r="BO216">
        <v>21188282065.599998</v>
      </c>
      <c r="BP216">
        <v>22861743174.599998</v>
      </c>
      <c r="BQ216">
        <v>24961880871.299999</v>
      </c>
    </row>
    <row r="217" spans="1:69" x14ac:dyDescent="0.35">
      <c r="A217" t="s">
        <v>366</v>
      </c>
      <c r="B217" t="s">
        <v>419</v>
      </c>
      <c r="C217" t="s">
        <v>362</v>
      </c>
      <c r="D217" t="s">
        <v>493</v>
      </c>
    </row>
    <row r="218" spans="1:69" x14ac:dyDescent="0.35">
      <c r="A218" t="s">
        <v>281</v>
      </c>
      <c r="B218" t="s">
        <v>23</v>
      </c>
      <c r="C218" t="s">
        <v>362</v>
      </c>
      <c r="D218" t="s">
        <v>493</v>
      </c>
      <c r="O218">
        <v>73220144.099999994</v>
      </c>
      <c r="P218">
        <v>79710586.299999997</v>
      </c>
      <c r="Q218">
        <v>96232136.599999994</v>
      </c>
      <c r="R218">
        <v>118816346.90000001</v>
      </c>
      <c r="S218">
        <v>153787755.80000001</v>
      </c>
      <c r="T218">
        <v>185278662.09999999</v>
      </c>
      <c r="U218">
        <v>242236035.09999999</v>
      </c>
      <c r="V218">
        <v>318670720.5</v>
      </c>
      <c r="W218">
        <v>410803672.5</v>
      </c>
      <c r="X218">
        <v>461002731</v>
      </c>
      <c r="Y218">
        <v>537806923.39999998</v>
      </c>
      <c r="Z218">
        <v>943549900.39999998</v>
      </c>
      <c r="AA218">
        <v>1112727706.4000001</v>
      </c>
      <c r="AB218">
        <v>1301878679.4000001</v>
      </c>
      <c r="AC218">
        <v>1413251592.9000001</v>
      </c>
      <c r="AD218">
        <v>1551613402.8</v>
      </c>
      <c r="AE218">
        <v>1709094992.0999999</v>
      </c>
      <c r="AF218">
        <v>1878432481.8</v>
      </c>
      <c r="AG218">
        <v>1947394726.0999999</v>
      </c>
      <c r="AH218">
        <v>2030965476.0999999</v>
      </c>
      <c r="AI218">
        <v>2244600537.9000001</v>
      </c>
      <c r="AJ218">
        <v>2325272820.3000002</v>
      </c>
      <c r="AK218">
        <v>2328282431.3000002</v>
      </c>
      <c r="AL218">
        <v>2381899237.5999999</v>
      </c>
      <c r="AM218">
        <v>2500958277.3000002</v>
      </c>
      <c r="AN218">
        <v>2556348054.6999998</v>
      </c>
      <c r="AO218">
        <v>2528407325.3000002</v>
      </c>
      <c r="AP218">
        <v>2450397710.6999998</v>
      </c>
      <c r="AQ218">
        <v>2529802081.1999998</v>
      </c>
      <c r="AR218">
        <v>2526665894.5999999</v>
      </c>
      <c r="AS218">
        <v>2477537976.4000001</v>
      </c>
      <c r="AT218">
        <v>2476280807.3000002</v>
      </c>
      <c r="AU218">
        <v>2607722167.0999999</v>
      </c>
      <c r="AV218">
        <v>2762599394.4000001</v>
      </c>
      <c r="AW218">
        <v>2775888430</v>
      </c>
      <c r="AX218">
        <v>2672234285.5</v>
      </c>
      <c r="AY218">
        <v>2762438309.5999999</v>
      </c>
      <c r="AZ218">
        <v>2868829766.4000001</v>
      </c>
      <c r="BA218">
        <v>2865716564.0999999</v>
      </c>
      <c r="BB218">
        <v>2943660874.6999998</v>
      </c>
      <c r="BC218">
        <v>2934384056.4000001</v>
      </c>
      <c r="BD218">
        <v>2940364939.5</v>
      </c>
      <c r="BE218">
        <v>2940422478.5</v>
      </c>
      <c r="BF218">
        <v>2938896763.0999999</v>
      </c>
      <c r="BG218">
        <v>2837118511.5</v>
      </c>
      <c r="BH218">
        <v>2770590306.6999998</v>
      </c>
      <c r="BI218">
        <v>2744666127.8000002</v>
      </c>
      <c r="BJ218">
        <v>2838649115.1999998</v>
      </c>
      <c r="BK218">
        <v>5313257657.6999998</v>
      </c>
      <c r="BL218">
        <v>5374181112.1999998</v>
      </c>
      <c r="BM218">
        <v>4591822809.5</v>
      </c>
      <c r="BN218">
        <v>4142587646.4000001</v>
      </c>
      <c r="BO218">
        <v>4095256883.6999998</v>
      </c>
      <c r="BP218">
        <v>3093994159.6999998</v>
      </c>
      <c r="BQ218">
        <v>1799443760.8</v>
      </c>
    </row>
    <row r="219" spans="1:69" x14ac:dyDescent="0.35">
      <c r="A219" t="s">
        <v>258</v>
      </c>
      <c r="B219" t="s">
        <v>357</v>
      </c>
      <c r="C219" t="s">
        <v>362</v>
      </c>
      <c r="D219" t="s">
        <v>493</v>
      </c>
      <c r="O219">
        <v>2329427795.5999999</v>
      </c>
      <c r="P219">
        <v>3115343352.3000002</v>
      </c>
      <c r="Q219">
        <v>3932625145.5</v>
      </c>
      <c r="R219">
        <v>4798029563.6999998</v>
      </c>
      <c r="S219">
        <v>5640709040.8000002</v>
      </c>
      <c r="T219">
        <v>6626723036.8000002</v>
      </c>
      <c r="U219">
        <v>8317656494.6999998</v>
      </c>
      <c r="V219">
        <v>10136187399.9</v>
      </c>
      <c r="W219">
        <v>12541323594.4</v>
      </c>
      <c r="X219">
        <v>15981333108.6</v>
      </c>
      <c r="Y219">
        <v>18494670860.099998</v>
      </c>
      <c r="Z219">
        <v>20652767920</v>
      </c>
      <c r="AA219">
        <v>19905765859.099998</v>
      </c>
      <c r="AB219">
        <v>20481895431.599998</v>
      </c>
      <c r="AC219">
        <v>19647974298</v>
      </c>
      <c r="AD219">
        <v>22254003529.200001</v>
      </c>
      <c r="AE219">
        <v>21502883400.5</v>
      </c>
      <c r="AF219">
        <v>22471937201.299999</v>
      </c>
      <c r="AG219">
        <v>21177810252.099998</v>
      </c>
      <c r="AH219">
        <v>19072884954.700001</v>
      </c>
      <c r="AI219">
        <v>17792819636.900002</v>
      </c>
      <c r="AJ219">
        <v>16472055974.4</v>
      </c>
      <c r="AK219">
        <v>16483026471.4</v>
      </c>
      <c r="AL219">
        <v>12708824729</v>
      </c>
      <c r="AM219">
        <v>11100638781.799999</v>
      </c>
      <c r="AN219">
        <v>10785293239.6</v>
      </c>
      <c r="AO219">
        <v>9409821312.2000008</v>
      </c>
      <c r="AP219">
        <v>10616369758.799999</v>
      </c>
      <c r="AQ219">
        <v>10897975637.200001</v>
      </c>
      <c r="AR219">
        <v>10978472128.799999</v>
      </c>
      <c r="AS219">
        <v>11573165499.6</v>
      </c>
      <c r="AT219">
        <v>12478681866.6</v>
      </c>
      <c r="AU219">
        <v>11400905180.200001</v>
      </c>
      <c r="AV219">
        <v>14259748378.799999</v>
      </c>
      <c r="AW219">
        <v>14562774444.5</v>
      </c>
      <c r="AX219">
        <v>16159378880.4</v>
      </c>
      <c r="AY219">
        <v>19885774045.599998</v>
      </c>
      <c r="AZ219">
        <v>26211637916.400002</v>
      </c>
      <c r="BA219">
        <v>30493346800.900002</v>
      </c>
      <c r="BB219">
        <v>33809169778.700001</v>
      </c>
      <c r="BC219">
        <v>32907137502</v>
      </c>
      <c r="BD219">
        <v>31657124951.799999</v>
      </c>
      <c r="BE219">
        <v>34361115814.699997</v>
      </c>
      <c r="BF219">
        <v>35636906791.199997</v>
      </c>
      <c r="BG219">
        <v>32106752435.5</v>
      </c>
      <c r="BH219">
        <v>30247124550.799999</v>
      </c>
      <c r="BI219">
        <v>27905718375.200001</v>
      </c>
      <c r="BJ219">
        <v>30930994202.299999</v>
      </c>
      <c r="BK219">
        <v>31047957743.900002</v>
      </c>
      <c r="BL219">
        <v>32398386691.099998</v>
      </c>
      <c r="BM219">
        <v>38918907143.400002</v>
      </c>
      <c r="BN219">
        <v>42008848728.400002</v>
      </c>
      <c r="BO219">
        <v>44850264265.699997</v>
      </c>
      <c r="BP219">
        <v>50259125533.199997</v>
      </c>
      <c r="BQ219">
        <v>51983619466.800003</v>
      </c>
    </row>
    <row r="220" spans="1:69" x14ac:dyDescent="0.35">
      <c r="A220" t="s">
        <v>47</v>
      </c>
      <c r="B220" t="s">
        <v>368</v>
      </c>
      <c r="C220" t="s">
        <v>362</v>
      </c>
      <c r="D220" t="s">
        <v>493</v>
      </c>
      <c r="O220">
        <v>6910800740.2000017</v>
      </c>
      <c r="P220">
        <v>8712797515.5</v>
      </c>
      <c r="Q220">
        <v>10031592330.5</v>
      </c>
      <c r="R220">
        <v>13096812359.1</v>
      </c>
      <c r="S220">
        <v>16355850702.299997</v>
      </c>
      <c r="T220">
        <v>19558019779.299999</v>
      </c>
      <c r="U220">
        <v>22500542157.600006</v>
      </c>
      <c r="V220">
        <v>31452005740.199997</v>
      </c>
      <c r="W220">
        <v>40992527039</v>
      </c>
      <c r="X220">
        <v>48505142465.599991</v>
      </c>
      <c r="Y220">
        <v>60528475258.300011</v>
      </c>
      <c r="Z220">
        <v>69150518038.800003</v>
      </c>
      <c r="AA220">
        <v>76479796548.399994</v>
      </c>
      <c r="AB220">
        <v>86434595165.800003</v>
      </c>
      <c r="AC220">
        <v>90605563117.799988</v>
      </c>
      <c r="AD220">
        <v>106710885564.19998</v>
      </c>
      <c r="AE220">
        <v>120520114766.30003</v>
      </c>
      <c r="AF220">
        <v>147362382417</v>
      </c>
      <c r="AG220">
        <v>149954755188.50003</v>
      </c>
      <c r="AH220">
        <v>156512487287.89999</v>
      </c>
      <c r="AI220">
        <v>176261891941.49994</v>
      </c>
      <c r="AJ220">
        <v>182839454505.70004</v>
      </c>
      <c r="AK220">
        <v>182445150897.10007</v>
      </c>
      <c r="AL220">
        <v>194822616886.19998</v>
      </c>
      <c r="AM220">
        <v>221767045200.60004</v>
      </c>
      <c r="AN220">
        <v>236366565767.00006</v>
      </c>
      <c r="AO220">
        <v>231929552699.79999</v>
      </c>
      <c r="AP220">
        <v>226556544374.50009</v>
      </c>
      <c r="AQ220">
        <v>230307798794.20001</v>
      </c>
      <c r="AR220">
        <v>218448888539.99997</v>
      </c>
      <c r="AS220">
        <v>216325867909.60004</v>
      </c>
      <c r="AT220">
        <v>209419535218.89996</v>
      </c>
      <c r="AU220">
        <v>230823358798.80002</v>
      </c>
      <c r="AV220">
        <v>253782472047.39999</v>
      </c>
      <c r="AW220">
        <v>268118666968.59995</v>
      </c>
      <c r="AX220">
        <v>248577835774.79999</v>
      </c>
      <c r="AY220">
        <v>213580202838.09995</v>
      </c>
      <c r="AZ220">
        <v>247226426229.5</v>
      </c>
      <c r="BA220">
        <v>255866479550.10001</v>
      </c>
      <c r="BB220">
        <v>292057128733.00006</v>
      </c>
      <c r="BC220">
        <v>340891835216.69989</v>
      </c>
      <c r="BD220">
        <v>379196804479.79999</v>
      </c>
      <c r="BE220">
        <v>429330036342</v>
      </c>
      <c r="BF220">
        <v>471775951133.69995</v>
      </c>
      <c r="BG220">
        <v>511777997033.1001</v>
      </c>
      <c r="BH220">
        <v>515951607815.19995</v>
      </c>
      <c r="BI220">
        <v>561504880444.40002</v>
      </c>
      <c r="BJ220">
        <v>656154962397.79993</v>
      </c>
      <c r="BK220">
        <v>700411397442.20007</v>
      </c>
      <c r="BL220">
        <v>751108737004.20007</v>
      </c>
      <c r="BM220">
        <v>792494839765.3999</v>
      </c>
      <c r="BN220">
        <v>834901598671.49988</v>
      </c>
      <c r="BO220">
        <v>848924362745.89978</v>
      </c>
      <c r="BP220">
        <v>869677732730.1001</v>
      </c>
      <c r="BQ220">
        <v>899592040953.70007</v>
      </c>
    </row>
    <row r="221" spans="1:69" x14ac:dyDescent="0.35">
      <c r="A221" t="s">
        <v>230</v>
      </c>
      <c r="B221" t="s">
        <v>50</v>
      </c>
      <c r="C221" t="s">
        <v>362</v>
      </c>
      <c r="D221" t="s">
        <v>493</v>
      </c>
    </row>
    <row r="222" spans="1:69" x14ac:dyDescent="0.35">
      <c r="A222" t="s">
        <v>252</v>
      </c>
      <c r="B222" t="s">
        <v>151</v>
      </c>
      <c r="C222" t="s">
        <v>362</v>
      </c>
      <c r="D222" t="s">
        <v>493</v>
      </c>
    </row>
    <row r="223" spans="1:69" x14ac:dyDescent="0.35">
      <c r="A223" t="s">
        <v>32</v>
      </c>
      <c r="B223" t="s">
        <v>159</v>
      </c>
      <c r="C223" t="s">
        <v>362</v>
      </c>
      <c r="D223" t="s">
        <v>493</v>
      </c>
    </row>
    <row r="224" spans="1:69" x14ac:dyDescent="0.35">
      <c r="A224" t="s">
        <v>201</v>
      </c>
      <c r="B224" t="s">
        <v>361</v>
      </c>
      <c r="C224" t="s">
        <v>362</v>
      </c>
      <c r="D224" t="s">
        <v>493</v>
      </c>
      <c r="V224">
        <v>2183745.2000000002</v>
      </c>
      <c r="W224">
        <v>10315766.6</v>
      </c>
      <c r="X224">
        <v>16719040.6</v>
      </c>
      <c r="Y224">
        <v>23460544.5</v>
      </c>
      <c r="Z224">
        <v>34421443.200000003</v>
      </c>
      <c r="AA224">
        <v>37835228.899999999</v>
      </c>
      <c r="AB224">
        <v>43794125.299999997</v>
      </c>
      <c r="AC224">
        <v>54043032</v>
      </c>
      <c r="AD224">
        <v>62644805</v>
      </c>
      <c r="AE224">
        <v>78917328.400000006</v>
      </c>
      <c r="AF224">
        <v>97671747.700000003</v>
      </c>
      <c r="AG224">
        <v>109175723.8</v>
      </c>
      <c r="AH224">
        <v>134446478.09999999</v>
      </c>
      <c r="AI224">
        <v>150047861.40000001</v>
      </c>
      <c r="AJ224">
        <v>167715805.5</v>
      </c>
      <c r="AK224">
        <v>189843609.19999999</v>
      </c>
      <c r="AL224">
        <v>209813616.40000001</v>
      </c>
      <c r="AM224">
        <v>222778525.69999999</v>
      </c>
      <c r="AN224">
        <v>245655455.09999999</v>
      </c>
      <c r="AO224">
        <v>235376843</v>
      </c>
      <c r="AP224">
        <v>238209013.69999999</v>
      </c>
      <c r="AQ224">
        <v>258261791</v>
      </c>
      <c r="AR224">
        <v>321781710.60000002</v>
      </c>
      <c r="AS224">
        <v>304831898.19999999</v>
      </c>
      <c r="AT224">
        <v>308356185</v>
      </c>
      <c r="AU224">
        <v>333450000.5</v>
      </c>
      <c r="AV224">
        <v>339959178.80000001</v>
      </c>
      <c r="AW224">
        <v>356057555.19999999</v>
      </c>
      <c r="AX224">
        <v>332257441.80000001</v>
      </c>
      <c r="AY224">
        <v>348203074.5</v>
      </c>
      <c r="AZ224">
        <v>162832260.30000001</v>
      </c>
      <c r="BA224">
        <v>128374045.8</v>
      </c>
      <c r="BB224">
        <v>153645969.5</v>
      </c>
      <c r="BC224">
        <v>177736250.80000001</v>
      </c>
      <c r="BD224">
        <v>216360036.69999999</v>
      </c>
      <c r="BE224">
        <v>193339402.30000001</v>
      </c>
      <c r="BF224">
        <v>206271695.90000001</v>
      </c>
      <c r="BG224">
        <v>206321644.59999999</v>
      </c>
      <c r="BH224">
        <v>234344644.5</v>
      </c>
      <c r="BI224">
        <v>240916227.40000001</v>
      </c>
      <c r="BJ224">
        <v>272509888.60000002</v>
      </c>
      <c r="BK224">
        <v>255625527.5</v>
      </c>
      <c r="BL224">
        <v>275561663.60000002</v>
      </c>
      <c r="BM224">
        <v>312857068.69999999</v>
      </c>
      <c r="BN224">
        <v>327486146.19999999</v>
      </c>
      <c r="BO224">
        <v>286876907.10000002</v>
      </c>
      <c r="BP224">
        <v>318480674.30000001</v>
      </c>
      <c r="BQ224">
        <v>326406625.80000001</v>
      </c>
    </row>
    <row r="225" spans="1:69" x14ac:dyDescent="0.35">
      <c r="A225" t="s">
        <v>413</v>
      </c>
      <c r="B225" t="s">
        <v>54</v>
      </c>
      <c r="C225" t="s">
        <v>362</v>
      </c>
      <c r="D225" t="s">
        <v>493</v>
      </c>
      <c r="BH225">
        <v>2562547848.1999998</v>
      </c>
      <c r="BI225">
        <v>2962151764.5999999</v>
      </c>
      <c r="BJ225">
        <v>3127952233.4000001</v>
      </c>
      <c r="BK225">
        <v>3540170610.4000001</v>
      </c>
      <c r="BL225">
        <v>3927535691.0999999</v>
      </c>
      <c r="BM225">
        <v>3885801062.1999998</v>
      </c>
      <c r="BN225">
        <v>4139436483.4000001</v>
      </c>
      <c r="BO225">
        <v>4194863046.5</v>
      </c>
      <c r="BP225">
        <v>4047562766.6999998</v>
      </c>
    </row>
    <row r="226" spans="1:69" x14ac:dyDescent="0.35">
      <c r="A226" t="s">
        <v>309</v>
      </c>
      <c r="B226" t="s">
        <v>122</v>
      </c>
      <c r="C226" t="s">
        <v>362</v>
      </c>
      <c r="D226" t="s">
        <v>493</v>
      </c>
    </row>
    <row r="227" spans="1:69" x14ac:dyDescent="0.35">
      <c r="A227" t="s">
        <v>302</v>
      </c>
      <c r="B227" t="s">
        <v>268</v>
      </c>
      <c r="C227" t="s">
        <v>362</v>
      </c>
      <c r="D227" t="s">
        <v>493</v>
      </c>
    </row>
    <row r="228" spans="1:69" x14ac:dyDescent="0.35">
      <c r="A228" t="s">
        <v>59</v>
      </c>
      <c r="B228" t="s">
        <v>232</v>
      </c>
      <c r="C228" t="s">
        <v>362</v>
      </c>
      <c r="D228" t="s">
        <v>493</v>
      </c>
    </row>
    <row r="229" spans="1:69" x14ac:dyDescent="0.35">
      <c r="A229" t="s">
        <v>535</v>
      </c>
      <c r="B229" t="s">
        <v>112</v>
      </c>
      <c r="C229" t="s">
        <v>362</v>
      </c>
      <c r="D229" t="s">
        <v>493</v>
      </c>
      <c r="O229">
        <v>37033600</v>
      </c>
      <c r="P229">
        <v>34636158.600000001</v>
      </c>
      <c r="Q229">
        <v>32579541.5</v>
      </c>
      <c r="R229">
        <v>36932052.200000003</v>
      </c>
      <c r="S229">
        <v>36186536.700000003</v>
      </c>
      <c r="T229">
        <v>33746594.899999999</v>
      </c>
      <c r="U229">
        <v>40783709.799999997</v>
      </c>
      <c r="V229">
        <v>61099341.700000003</v>
      </c>
      <c r="W229">
        <v>148246663.90000001</v>
      </c>
      <c r="X229">
        <v>183128664.80000001</v>
      </c>
      <c r="Y229">
        <v>207635163.80000001</v>
      </c>
      <c r="Z229">
        <v>185846514</v>
      </c>
      <c r="AA229">
        <v>205660366.09999999</v>
      </c>
      <c r="AB229">
        <v>237056126.40000001</v>
      </c>
      <c r="AC229">
        <v>191395502.5</v>
      </c>
      <c r="AD229">
        <v>236548443.19999999</v>
      </c>
      <c r="AE229">
        <v>273377332.30000001</v>
      </c>
      <c r="AF229">
        <v>302794584.39999998</v>
      </c>
      <c r="AG229">
        <v>259436559.30000001</v>
      </c>
      <c r="AH229">
        <v>271146128</v>
      </c>
      <c r="AI229">
        <v>256044454.30000001</v>
      </c>
      <c r="AJ229">
        <v>260437309.59999999</v>
      </c>
      <c r="AK229">
        <v>237910547</v>
      </c>
      <c r="AL229">
        <v>228166871.40000001</v>
      </c>
      <c r="AM229">
        <v>240790698.90000001</v>
      </c>
      <c r="AN229">
        <v>249640731.90000001</v>
      </c>
      <c r="AO229">
        <v>234857815.80000001</v>
      </c>
      <c r="AP229">
        <v>409051383.10000002</v>
      </c>
      <c r="AQ229">
        <v>300826830.30000001</v>
      </c>
      <c r="AR229">
        <v>340291444</v>
      </c>
      <c r="AS229">
        <v>333715753.19999999</v>
      </c>
      <c r="AT229">
        <v>348534802.30000001</v>
      </c>
      <c r="AU229">
        <v>410868440.19999999</v>
      </c>
      <c r="AV229">
        <v>453448988.19999999</v>
      </c>
      <c r="AW229">
        <v>463598561.69999999</v>
      </c>
      <c r="AX229">
        <v>520294300.89999998</v>
      </c>
      <c r="AY229">
        <v>474976016.60000002</v>
      </c>
      <c r="AZ229">
        <v>497770307.89999998</v>
      </c>
      <c r="BA229">
        <v>480516699.60000002</v>
      </c>
      <c r="BB229">
        <v>527156239.60000002</v>
      </c>
      <c r="BC229">
        <v>1016890185.2</v>
      </c>
      <c r="BD229">
        <v>1039157895.1</v>
      </c>
      <c r="BE229">
        <v>863790140.29999995</v>
      </c>
      <c r="BF229">
        <v>754187660.39999998</v>
      </c>
      <c r="BG229">
        <v>537314978.89999998</v>
      </c>
      <c r="BH229">
        <v>449950527.30000001</v>
      </c>
      <c r="BI229">
        <v>765430841</v>
      </c>
      <c r="BJ229">
        <v>873013004.10000002</v>
      </c>
      <c r="BK229">
        <v>766436157.29999995</v>
      </c>
      <c r="BL229">
        <v>834013682.10000002</v>
      </c>
      <c r="BM229">
        <v>957579428.79999995</v>
      </c>
      <c r="BN229">
        <v>1179021627.2</v>
      </c>
      <c r="BO229">
        <v>1247997284.2</v>
      </c>
      <c r="BP229">
        <v>1228148249.5</v>
      </c>
      <c r="BQ229">
        <v>1238600512.2</v>
      </c>
    </row>
    <row r="230" spans="1:69" x14ac:dyDescent="0.35">
      <c r="A230" t="s">
        <v>295</v>
      </c>
      <c r="B230" t="s">
        <v>335</v>
      </c>
      <c r="C230" t="s">
        <v>362</v>
      </c>
      <c r="D230" t="s">
        <v>493</v>
      </c>
    </row>
    <row r="231" spans="1:69" x14ac:dyDescent="0.35">
      <c r="A231" t="s">
        <v>406</v>
      </c>
      <c r="B231" t="s">
        <v>125</v>
      </c>
      <c r="C231" t="s">
        <v>362</v>
      </c>
      <c r="D231" t="s">
        <v>493</v>
      </c>
    </row>
    <row r="232" spans="1:69" x14ac:dyDescent="0.35">
      <c r="A232" t="s">
        <v>145</v>
      </c>
      <c r="B232" t="s">
        <v>178</v>
      </c>
      <c r="C232" t="s">
        <v>362</v>
      </c>
      <c r="D232" t="s">
        <v>493</v>
      </c>
      <c r="BA232">
        <v>5388704719</v>
      </c>
      <c r="BB232">
        <v>5688619010.6999998</v>
      </c>
      <c r="BC232">
        <v>5276579226.5</v>
      </c>
      <c r="BD232">
        <v>4980444783.3999996</v>
      </c>
      <c r="BE232">
        <v>4748208496.5</v>
      </c>
      <c r="BF232">
        <v>4765860589.1999998</v>
      </c>
      <c r="BG232">
        <v>4608449443</v>
      </c>
      <c r="BH232">
        <v>4419183536.1000004</v>
      </c>
      <c r="BI232">
        <v>4367932030.6000004</v>
      </c>
      <c r="BJ232">
        <v>4603897926.3999996</v>
      </c>
      <c r="BK232">
        <v>4583582193.8999996</v>
      </c>
      <c r="BL232">
        <v>4590239653.6999998</v>
      </c>
      <c r="BM232">
        <v>4763247277.8000002</v>
      </c>
      <c r="BN232">
        <v>5028598331.8000002</v>
      </c>
      <c r="BO232">
        <v>4862033265.3000002</v>
      </c>
      <c r="BP232">
        <v>4875542720.1000004</v>
      </c>
      <c r="BQ232">
        <v>4756737935.6000004</v>
      </c>
    </row>
    <row r="233" spans="1:69" x14ac:dyDescent="0.35">
      <c r="A233" t="s">
        <v>100</v>
      </c>
      <c r="B233" t="s">
        <v>186</v>
      </c>
      <c r="C233" t="s">
        <v>362</v>
      </c>
      <c r="D233" t="s">
        <v>493</v>
      </c>
    </row>
    <row r="234" spans="1:69" x14ac:dyDescent="0.35">
      <c r="A234" t="s">
        <v>499</v>
      </c>
      <c r="B234" t="s">
        <v>474</v>
      </c>
      <c r="C234" t="s">
        <v>362</v>
      </c>
      <c r="D234" t="s">
        <v>493</v>
      </c>
      <c r="O234">
        <v>35194310.600000001</v>
      </c>
      <c r="P234">
        <v>46987777.5</v>
      </c>
      <c r="Q234">
        <v>36535574.399999999</v>
      </c>
      <c r="R234">
        <v>47949602.600000001</v>
      </c>
      <c r="S234">
        <v>76033230.299999997</v>
      </c>
      <c r="T234">
        <v>143033649.59999999</v>
      </c>
      <c r="U234">
        <v>155883421.19999999</v>
      </c>
      <c r="V234">
        <v>206649548</v>
      </c>
      <c r="W234">
        <v>280957463.69999999</v>
      </c>
      <c r="X234">
        <v>308437524.19999999</v>
      </c>
      <c r="Y234">
        <v>284235851.39999998</v>
      </c>
      <c r="Z234">
        <v>259160026.30000001</v>
      </c>
      <c r="AA234">
        <v>220537735.69999999</v>
      </c>
      <c r="AB234">
        <v>219447718.69999999</v>
      </c>
      <c r="AC234">
        <v>193968687.40000001</v>
      </c>
      <c r="AD234">
        <v>216488390.30000001</v>
      </c>
      <c r="AE234">
        <v>263170300.19999999</v>
      </c>
      <c r="AF234">
        <v>347956438.89999998</v>
      </c>
      <c r="AG234">
        <v>395720698.39999998</v>
      </c>
      <c r="AH234">
        <v>398671140</v>
      </c>
      <c r="AI234">
        <v>514179006.10000002</v>
      </c>
      <c r="AJ234">
        <v>616560585.10000002</v>
      </c>
      <c r="AK234">
        <v>641682750.20000005</v>
      </c>
      <c r="AL234">
        <v>692281243.29999995</v>
      </c>
      <c r="AM234">
        <v>784041894.70000005</v>
      </c>
      <c r="AN234">
        <v>841874677.29999995</v>
      </c>
      <c r="AO234">
        <v>946588238.70000005</v>
      </c>
      <c r="AP234">
        <v>956913401.39999998</v>
      </c>
      <c r="AQ234">
        <v>1029974192.7</v>
      </c>
      <c r="AR234">
        <v>1109216581</v>
      </c>
      <c r="AS234">
        <v>1098901268.9000001</v>
      </c>
      <c r="AT234">
        <v>1095686160.4000001</v>
      </c>
      <c r="AU234">
        <v>1276030379</v>
      </c>
      <c r="AV234">
        <v>1539458240.8</v>
      </c>
      <c r="AW234">
        <v>1652259152.8</v>
      </c>
      <c r="AX234">
        <v>1629648503.0999999</v>
      </c>
      <c r="AY234">
        <v>1757292382.5999999</v>
      </c>
      <c r="AZ234">
        <v>1848758227.2</v>
      </c>
      <c r="BA234">
        <v>1802466708.4000001</v>
      </c>
      <c r="BB234">
        <v>1874375774.9000001</v>
      </c>
      <c r="BC234">
        <v>2157556371.3000002</v>
      </c>
      <c r="BD234">
        <v>2331370125.4000001</v>
      </c>
      <c r="BE234">
        <v>2346572489</v>
      </c>
      <c r="BF234">
        <v>2910578276.0999999</v>
      </c>
      <c r="BG234">
        <v>3724337229.9000001</v>
      </c>
      <c r="BH234">
        <v>2798645241.3000002</v>
      </c>
      <c r="BI234">
        <v>2857894668.9000001</v>
      </c>
      <c r="BJ234">
        <v>3131541325.8000002</v>
      </c>
      <c r="BK234">
        <v>3178231952.9000001</v>
      </c>
      <c r="BL234">
        <v>3213862269.3000002</v>
      </c>
      <c r="BM234">
        <v>3487524895.9000001</v>
      </c>
      <c r="BN234">
        <v>3584972747.9000001</v>
      </c>
      <c r="BO234">
        <v>3269658175.5</v>
      </c>
      <c r="BP234">
        <v>3191737796.4000001</v>
      </c>
      <c r="BQ234">
        <v>3348359914.3000002</v>
      </c>
    </row>
    <row r="235" spans="1:69" x14ac:dyDescent="0.35">
      <c r="A235" t="s">
        <v>581</v>
      </c>
      <c r="B235" t="s">
        <v>303</v>
      </c>
      <c r="C235" t="s">
        <v>362</v>
      </c>
      <c r="D235" t="s">
        <v>493</v>
      </c>
    </row>
    <row r="236" spans="1:69" x14ac:dyDescent="0.35">
      <c r="A236" t="s">
        <v>392</v>
      </c>
      <c r="B236" t="s">
        <v>414</v>
      </c>
      <c r="C236" t="s">
        <v>362</v>
      </c>
      <c r="D236" t="s">
        <v>493</v>
      </c>
    </row>
    <row r="237" spans="1:69" x14ac:dyDescent="0.35">
      <c r="A237" t="s">
        <v>206</v>
      </c>
      <c r="B237" t="s">
        <v>310</v>
      </c>
      <c r="C237" t="s">
        <v>362</v>
      </c>
      <c r="D237" t="s">
        <v>493</v>
      </c>
      <c r="O237">
        <v>39801356.899999999</v>
      </c>
      <c r="P237">
        <v>47286582.200000003</v>
      </c>
      <c r="Q237">
        <v>47049050.799999997</v>
      </c>
      <c r="R237">
        <v>69570984.099999994</v>
      </c>
      <c r="S237">
        <v>126779361.8</v>
      </c>
      <c r="T237">
        <v>167825816.5</v>
      </c>
      <c r="U237">
        <v>242230566.90000001</v>
      </c>
      <c r="V237">
        <v>434315074.39999998</v>
      </c>
      <c r="W237">
        <v>820147734.10000002</v>
      </c>
      <c r="X237">
        <v>1103302010.7</v>
      </c>
      <c r="Y237">
        <v>1122269876.3</v>
      </c>
      <c r="Z237">
        <v>998488103.20000005</v>
      </c>
      <c r="AA237">
        <v>950904818.5</v>
      </c>
      <c r="AB237">
        <v>916720382.39999998</v>
      </c>
      <c r="AC237">
        <v>801989757.60000002</v>
      </c>
      <c r="AD237">
        <v>934737436.20000005</v>
      </c>
      <c r="AE237">
        <v>1064791560.1</v>
      </c>
      <c r="AF237">
        <v>1234549173.3</v>
      </c>
      <c r="AG237">
        <v>1221898000.0999999</v>
      </c>
      <c r="AH237">
        <v>1175991338.5</v>
      </c>
      <c r="AI237">
        <v>1280414838</v>
      </c>
      <c r="AJ237">
        <v>1350918506.2</v>
      </c>
      <c r="AK237">
        <v>1352229618.5999999</v>
      </c>
      <c r="AL237">
        <v>1292462409.3</v>
      </c>
      <c r="AM237">
        <v>1454418478</v>
      </c>
      <c r="AN237">
        <v>1474990120.0999999</v>
      </c>
      <c r="AO237">
        <v>1487243523.2</v>
      </c>
      <c r="AP237">
        <v>1344663527.5999999</v>
      </c>
      <c r="AQ237">
        <v>1471814621.3</v>
      </c>
      <c r="AR237">
        <v>1538399193.9000001</v>
      </c>
      <c r="AS237">
        <v>1445960550.9000001</v>
      </c>
      <c r="AT237">
        <v>1423397059.5999999</v>
      </c>
      <c r="AU237">
        <v>1602431667.9000001</v>
      </c>
      <c r="AV237">
        <v>1732560992.2</v>
      </c>
      <c r="AW237">
        <v>1839097569.0999999</v>
      </c>
      <c r="AX237">
        <v>1687525276.4000001</v>
      </c>
      <c r="AY237">
        <v>1795173984.3</v>
      </c>
      <c r="AZ237">
        <v>1967415189.5</v>
      </c>
      <c r="BA237">
        <v>1638414175.4000001</v>
      </c>
      <c r="BB237">
        <v>1724528058.5999999</v>
      </c>
      <c r="BC237">
        <v>1290615124.8</v>
      </c>
      <c r="BD237">
        <v>636458643</v>
      </c>
      <c r="BE237">
        <v>760236668.89999998</v>
      </c>
      <c r="BF237">
        <v>935659568.10000002</v>
      </c>
      <c r="BG237">
        <v>1030916924</v>
      </c>
      <c r="BH237">
        <v>1104695218.3</v>
      </c>
      <c r="BI237">
        <v>1213797944.2</v>
      </c>
      <c r="BJ237">
        <v>1634591475.5999999</v>
      </c>
      <c r="BK237">
        <v>1705711508.7</v>
      </c>
      <c r="BL237">
        <v>2008722642.7</v>
      </c>
      <c r="BM237">
        <v>2568770933.8000002</v>
      </c>
      <c r="BN237">
        <v>3544978710.1999998</v>
      </c>
      <c r="BO237">
        <v>3281657367.6999998</v>
      </c>
      <c r="BP237">
        <v>3439839395.5</v>
      </c>
      <c r="BQ237">
        <v>4294139883.4000001</v>
      </c>
    </row>
    <row r="238" spans="1:69" x14ac:dyDescent="0.35">
      <c r="A238" t="s">
        <v>451</v>
      </c>
      <c r="B238" t="s">
        <v>363</v>
      </c>
      <c r="C238" t="s">
        <v>362</v>
      </c>
      <c r="D238" t="s">
        <v>493</v>
      </c>
      <c r="O238">
        <v>1000572108.9</v>
      </c>
      <c r="P238">
        <v>1079128839.7</v>
      </c>
      <c r="Q238">
        <v>1229411687.8</v>
      </c>
      <c r="R238">
        <v>1245690376.2</v>
      </c>
      <c r="S238">
        <v>1600893354.9000001</v>
      </c>
      <c r="T238">
        <v>1865317539</v>
      </c>
      <c r="U238">
        <v>2325633646.0999999</v>
      </c>
      <c r="V238">
        <v>3344454730.1999998</v>
      </c>
      <c r="W238">
        <v>5029137828.5</v>
      </c>
      <c r="X238">
        <v>6644774200.8000002</v>
      </c>
      <c r="Y238">
        <v>8297078410.5</v>
      </c>
      <c r="Z238">
        <v>10851629853.4</v>
      </c>
      <c r="AA238">
        <v>12237908792.200001</v>
      </c>
      <c r="AB238">
        <v>13902415140.299999</v>
      </c>
      <c r="AC238">
        <v>15012831076.9</v>
      </c>
      <c r="AD238">
        <v>17545477591.799999</v>
      </c>
      <c r="AE238">
        <v>18537200102.400002</v>
      </c>
      <c r="AF238">
        <v>20385283141.700001</v>
      </c>
      <c r="AG238">
        <v>21763483335.099998</v>
      </c>
      <c r="AH238">
        <v>23536747458</v>
      </c>
      <c r="AI238">
        <v>28165126438.700001</v>
      </c>
      <c r="AJ238">
        <v>37772319224.599998</v>
      </c>
      <c r="AK238">
        <v>41864442860.099998</v>
      </c>
      <c r="AL238">
        <v>52717189061.199997</v>
      </c>
      <c r="AM238">
        <v>65596252733.300003</v>
      </c>
      <c r="AN238">
        <v>100092684586</v>
      </c>
      <c r="AO238">
        <v>112879501380.89999</v>
      </c>
      <c r="AP238">
        <v>109730690051.89999</v>
      </c>
      <c r="AQ238">
        <v>104943991856.5</v>
      </c>
      <c r="AR238">
        <v>96903100977.300003</v>
      </c>
      <c r="AS238">
        <v>79830056193.199997</v>
      </c>
      <c r="AT238">
        <v>67296708658.900002</v>
      </c>
      <c r="AU238">
        <v>62922110903.300003</v>
      </c>
      <c r="AV238">
        <v>58452984709.5</v>
      </c>
      <c r="AW238">
        <v>58416708560.400002</v>
      </c>
      <c r="AX238">
        <v>58524721297.5</v>
      </c>
      <c r="AY238">
        <v>62716469252.199997</v>
      </c>
      <c r="AZ238">
        <v>63156007038</v>
      </c>
      <c r="BA238">
        <v>66708742797.699997</v>
      </c>
      <c r="BB238">
        <v>80931068117.800003</v>
      </c>
      <c r="BC238">
        <v>107165878658.60001</v>
      </c>
      <c r="BD238">
        <v>117681130154.39999</v>
      </c>
      <c r="BE238">
        <v>151145531850.60001</v>
      </c>
      <c r="BF238">
        <v>153833122504.29999</v>
      </c>
      <c r="BG238">
        <v>146924958766.29999</v>
      </c>
      <c r="BH238">
        <v>122988521275.3</v>
      </c>
      <c r="BI238">
        <v>131071178439.10001</v>
      </c>
      <c r="BJ238">
        <v>153571483414.10001</v>
      </c>
      <c r="BK238">
        <v>172100562780.29999</v>
      </c>
      <c r="BL238">
        <v>168599886145.79999</v>
      </c>
      <c r="BM238">
        <v>186866033773.60001</v>
      </c>
      <c r="BN238">
        <v>196675731446.89999</v>
      </c>
      <c r="BO238">
        <v>201051228652.89999</v>
      </c>
      <c r="BP238">
        <v>194693030257.39999</v>
      </c>
      <c r="BQ238">
        <v>191827376401.5</v>
      </c>
    </row>
    <row r="239" spans="1:69" x14ac:dyDescent="0.35">
      <c r="A239" t="s">
        <v>35</v>
      </c>
      <c r="B239" t="s">
        <v>37</v>
      </c>
      <c r="C239" t="s">
        <v>362</v>
      </c>
      <c r="D239" t="s">
        <v>493</v>
      </c>
      <c r="AK239">
        <v>9731000</v>
      </c>
      <c r="AL239">
        <v>382514000</v>
      </c>
      <c r="AM239">
        <v>577538000</v>
      </c>
      <c r="AN239">
        <v>629795000</v>
      </c>
      <c r="AO239">
        <v>694309400.39999998</v>
      </c>
      <c r="AP239">
        <v>1050335124.1</v>
      </c>
      <c r="AQ239">
        <v>1228826959.2</v>
      </c>
      <c r="AR239">
        <v>1373567363.8</v>
      </c>
      <c r="AS239">
        <v>1140676654</v>
      </c>
      <c r="AT239">
        <v>1162073154.7</v>
      </c>
      <c r="AU239">
        <v>1254304142.5999999</v>
      </c>
      <c r="AV239">
        <v>1272329032.2</v>
      </c>
      <c r="AW239">
        <v>1166678857.2</v>
      </c>
      <c r="AX239">
        <v>1116909976.5</v>
      </c>
      <c r="AY239">
        <v>1060790372.7</v>
      </c>
      <c r="AZ239">
        <v>1348486856</v>
      </c>
      <c r="BA239">
        <v>2497045162.5</v>
      </c>
      <c r="BB239">
        <v>2666229139.5999999</v>
      </c>
      <c r="BC239">
        <v>3561185320.5</v>
      </c>
      <c r="BD239">
        <v>3922103878.3000002</v>
      </c>
      <c r="BE239">
        <v>4619361917.3999996</v>
      </c>
      <c r="BF239">
        <v>4862292683.6000004</v>
      </c>
      <c r="BG239">
        <v>5123749263.3000002</v>
      </c>
      <c r="BH239">
        <v>5144129015</v>
      </c>
      <c r="BI239">
        <v>5180495790.8000002</v>
      </c>
      <c r="BJ239">
        <v>5865953296.1000004</v>
      </c>
      <c r="BK239">
        <v>6086669246</v>
      </c>
      <c r="BL239">
        <v>6632776523.8999996</v>
      </c>
      <c r="BM239">
        <v>6903659102.3000002</v>
      </c>
      <c r="BN239">
        <v>6590623735.3000002</v>
      </c>
      <c r="BO239">
        <v>6723539347.8000002</v>
      </c>
      <c r="BP239">
        <v>6589051886.8999996</v>
      </c>
      <c r="BQ239">
        <v>6977429758.1999998</v>
      </c>
    </row>
    <row r="240" spans="1:69" x14ac:dyDescent="0.35">
      <c r="A240" t="s">
        <v>424</v>
      </c>
      <c r="B240" t="s">
        <v>212</v>
      </c>
      <c r="C240" t="s">
        <v>362</v>
      </c>
      <c r="D240" t="s">
        <v>493</v>
      </c>
      <c r="AL240">
        <v>276435325</v>
      </c>
      <c r="AM240">
        <v>431045659.10000002</v>
      </c>
      <c r="AN240">
        <v>402248484.19999999</v>
      </c>
      <c r="AO240">
        <v>756163428.60000002</v>
      </c>
      <c r="AP240">
        <v>1866474843.2</v>
      </c>
      <c r="AQ240">
        <v>2397439413</v>
      </c>
      <c r="AR240">
        <v>2732208441.4000001</v>
      </c>
      <c r="AS240">
        <v>2627007065.6999998</v>
      </c>
      <c r="AT240">
        <v>2241509191.5999999</v>
      </c>
      <c r="AU240">
        <v>2130945860.5999999</v>
      </c>
      <c r="AV240">
        <v>1916765263.8</v>
      </c>
      <c r="AW240">
        <v>1815782395.5</v>
      </c>
      <c r="AX240">
        <v>1152800557.5</v>
      </c>
      <c r="AY240">
        <v>991050916.5</v>
      </c>
      <c r="AZ240">
        <v>877831145.5</v>
      </c>
      <c r="BA240">
        <v>817830560.10000002</v>
      </c>
      <c r="BB240">
        <v>803881172.29999995</v>
      </c>
      <c r="BC240">
        <v>1682020478.2</v>
      </c>
      <c r="BD240">
        <v>4296648711.5</v>
      </c>
      <c r="BE240">
        <v>6547850611.6999998</v>
      </c>
      <c r="BF240">
        <v>8278943711.1000004</v>
      </c>
      <c r="BG240">
        <v>7360924924</v>
      </c>
      <c r="BH240">
        <v>7003746694.1000004</v>
      </c>
      <c r="BI240">
        <v>8167364609</v>
      </c>
      <c r="BJ240">
        <v>8650279590.7999992</v>
      </c>
      <c r="BK240">
        <v>8159810791.6000004</v>
      </c>
      <c r="BL240">
        <v>6650434191.5</v>
      </c>
      <c r="BM240">
        <v>5770954535.6000004</v>
      </c>
      <c r="BN240">
        <v>4986356367</v>
      </c>
      <c r="BO240">
        <v>4645434178.1000004</v>
      </c>
      <c r="BP240">
        <v>3917747615.1999998</v>
      </c>
      <c r="BQ240">
        <v>3320400762</v>
      </c>
    </row>
    <row r="241" spans="1:69" x14ac:dyDescent="0.35">
      <c r="A241" t="s">
        <v>119</v>
      </c>
      <c r="B241" t="s">
        <v>501</v>
      </c>
      <c r="C241" t="s">
        <v>362</v>
      </c>
      <c r="D241" t="s">
        <v>493</v>
      </c>
    </row>
    <row r="242" spans="1:69" x14ac:dyDescent="0.35">
      <c r="A242" t="s">
        <v>550</v>
      </c>
      <c r="B242" t="s">
        <v>231</v>
      </c>
      <c r="C242" t="s">
        <v>362</v>
      </c>
      <c r="D242" t="s">
        <v>493</v>
      </c>
      <c r="BE242">
        <v>76035316.900000006</v>
      </c>
      <c r="BF242">
        <v>89494692.900000006</v>
      </c>
      <c r="BG242">
        <v>104305452.7</v>
      </c>
      <c r="BH242">
        <v>116733681.09999999</v>
      </c>
      <c r="BI242">
        <v>80907571.099999994</v>
      </c>
      <c r="BJ242">
        <v>124522399.40000001</v>
      </c>
      <c r="BK242">
        <v>158056457</v>
      </c>
      <c r="BL242">
        <v>203400669.59999999</v>
      </c>
      <c r="BM242">
        <v>231800534.59999999</v>
      </c>
      <c r="BN242">
        <v>278614052.19999999</v>
      </c>
      <c r="BO242">
        <v>287938205.69999999</v>
      </c>
      <c r="BP242">
        <v>305742152.19999999</v>
      </c>
      <c r="BQ242">
        <v>296673869.10000002</v>
      </c>
    </row>
    <row r="243" spans="1:69" x14ac:dyDescent="0.35">
      <c r="A243" t="s">
        <v>585</v>
      </c>
      <c r="B243" t="s">
        <v>376</v>
      </c>
      <c r="C243" t="s">
        <v>362</v>
      </c>
      <c r="D243" t="s">
        <v>493</v>
      </c>
    </row>
    <row r="244" spans="1:69" x14ac:dyDescent="0.35">
      <c r="A244" t="s">
        <v>526</v>
      </c>
      <c r="B244" t="s">
        <v>509</v>
      </c>
      <c r="C244" t="s">
        <v>362</v>
      </c>
      <c r="D244" t="s">
        <v>493</v>
      </c>
      <c r="AD244">
        <v>24548074.199999999</v>
      </c>
      <c r="AE244">
        <v>28928950</v>
      </c>
      <c r="AF244">
        <v>36096245.200000003</v>
      </c>
      <c r="AG244">
        <v>37559875</v>
      </c>
      <c r="AH244">
        <v>39140012.399999999</v>
      </c>
      <c r="AI244">
        <v>53683028</v>
      </c>
      <c r="AJ244">
        <v>44995161.5</v>
      </c>
      <c r="AK244">
        <v>43482995.299999997</v>
      </c>
      <c r="AL244">
        <v>44241811.700000003</v>
      </c>
      <c r="AM244">
        <v>58640380.299999997</v>
      </c>
      <c r="AN244">
        <v>64114187.200000003</v>
      </c>
      <c r="AO244">
        <v>63805061.299999997</v>
      </c>
      <c r="AP244">
        <v>58675998.799999997</v>
      </c>
      <c r="AQ244">
        <v>64879601.700000003</v>
      </c>
      <c r="AR244">
        <v>78049432.900000006</v>
      </c>
      <c r="AS244">
        <v>73965562.400000006</v>
      </c>
      <c r="AT244">
        <v>71355546.299999997</v>
      </c>
      <c r="AU244">
        <v>81495989.099999994</v>
      </c>
      <c r="AV244">
        <v>93415984.099999994</v>
      </c>
      <c r="AW244">
        <v>94356377.099999994</v>
      </c>
      <c r="AX244">
        <v>89030079.099999994</v>
      </c>
      <c r="AY244">
        <v>91618892.900000006</v>
      </c>
      <c r="AZ244">
        <v>96867967</v>
      </c>
      <c r="BA244">
        <v>98959554</v>
      </c>
      <c r="BB244">
        <v>114892400.3</v>
      </c>
      <c r="BC244">
        <v>153652255.80000001</v>
      </c>
      <c r="BD244">
        <v>191201692.90000001</v>
      </c>
      <c r="BE244">
        <v>197996915.69999999</v>
      </c>
      <c r="BF244">
        <v>199562997.30000001</v>
      </c>
      <c r="BG244">
        <v>195924377.19999999</v>
      </c>
      <c r="BH244">
        <v>184338819.80000001</v>
      </c>
      <c r="BI244">
        <v>174411669.5</v>
      </c>
      <c r="BJ244">
        <v>193072348.90000001</v>
      </c>
      <c r="BK244">
        <v>187000421.09999999</v>
      </c>
      <c r="BL244">
        <v>186647313.69999999</v>
      </c>
      <c r="BM244">
        <v>194579370.90000001</v>
      </c>
      <c r="BN244">
        <v>223626733.69999999</v>
      </c>
      <c r="BO244">
        <v>209927234.19999999</v>
      </c>
      <c r="BP244">
        <v>196453498.59999999</v>
      </c>
      <c r="BQ244">
        <v>173176112.09999999</v>
      </c>
    </row>
    <row r="245" spans="1:69" x14ac:dyDescent="0.35">
      <c r="A245" t="s">
        <v>6</v>
      </c>
      <c r="B245" t="s">
        <v>73</v>
      </c>
      <c r="C245" t="s">
        <v>362</v>
      </c>
      <c r="D245" t="s">
        <v>493</v>
      </c>
    </row>
    <row r="246" spans="1:69" x14ac:dyDescent="0.35">
      <c r="A246" t="s">
        <v>191</v>
      </c>
      <c r="B246" t="s">
        <v>407</v>
      </c>
      <c r="C246" t="s">
        <v>362</v>
      </c>
      <c r="D246" t="s">
        <v>493</v>
      </c>
    </row>
    <row r="247" spans="1:69" x14ac:dyDescent="0.35">
      <c r="A247" t="s">
        <v>543</v>
      </c>
      <c r="B247" t="s">
        <v>142</v>
      </c>
      <c r="C247" t="s">
        <v>362</v>
      </c>
      <c r="D247" t="s">
        <v>493</v>
      </c>
    </row>
    <row r="248" spans="1:69" x14ac:dyDescent="0.35">
      <c r="A248" t="s">
        <v>172</v>
      </c>
      <c r="B248" t="s">
        <v>15</v>
      </c>
      <c r="C248" t="s">
        <v>362</v>
      </c>
      <c r="D248" t="s">
        <v>493</v>
      </c>
      <c r="O248">
        <v>603200003.20000005</v>
      </c>
      <c r="P248">
        <v>676455154.29999995</v>
      </c>
      <c r="Q248">
        <v>753125154.79999995</v>
      </c>
      <c r="R248">
        <v>881771774.39999998</v>
      </c>
      <c r="S248">
        <v>1008315139.3</v>
      </c>
      <c r="T248">
        <v>1115794378.8</v>
      </c>
      <c r="U248">
        <v>1290725427</v>
      </c>
      <c r="V248">
        <v>2248212072.4000001</v>
      </c>
      <c r="W248">
        <v>2954540544.0999999</v>
      </c>
      <c r="X248">
        <v>3410535275.6999998</v>
      </c>
      <c r="Y248">
        <v>3533404839.1999998</v>
      </c>
      <c r="Z248">
        <v>3611172894</v>
      </c>
      <c r="AA248">
        <v>3777334492.5</v>
      </c>
      <c r="AB248">
        <v>4063243816.4000001</v>
      </c>
      <c r="AC248">
        <v>4097321562.8000002</v>
      </c>
      <c r="AD248">
        <v>4886601243.8000002</v>
      </c>
      <c r="AE248">
        <v>5944706612.8999996</v>
      </c>
      <c r="AF248">
        <v>6817910803</v>
      </c>
      <c r="AG248">
        <v>6800232969</v>
      </c>
      <c r="AH248">
        <v>6974803135.1999998</v>
      </c>
      <c r="AI248">
        <v>7689870905.1000004</v>
      </c>
      <c r="AJ248">
        <v>8251258473.6000004</v>
      </c>
      <c r="AK248">
        <v>8542684831.5</v>
      </c>
      <c r="AL248">
        <v>8693836168.7000008</v>
      </c>
      <c r="AM248">
        <v>9614053659.6000004</v>
      </c>
      <c r="AN248">
        <v>10819480146.700001</v>
      </c>
      <c r="AO248">
        <v>11379084345.6</v>
      </c>
      <c r="AP248">
        <v>11229245891</v>
      </c>
      <c r="AQ248">
        <v>10845598411.700001</v>
      </c>
      <c r="AR248">
        <v>11912144319.5</v>
      </c>
      <c r="AS248">
        <v>11355178322.9</v>
      </c>
      <c r="AT248">
        <v>12916759883.6</v>
      </c>
      <c r="AU248">
        <v>15510612053.4</v>
      </c>
      <c r="AV248">
        <v>18129964847.299999</v>
      </c>
      <c r="AW248">
        <v>19685391758.200001</v>
      </c>
      <c r="AX248">
        <v>18046141123.5</v>
      </c>
      <c r="AY248">
        <v>18832356907.900002</v>
      </c>
      <c r="AZ248">
        <v>20709926831.099998</v>
      </c>
      <c r="BA248">
        <v>21575149179.799999</v>
      </c>
      <c r="BB248">
        <v>22904702181.5</v>
      </c>
      <c r="BC248">
        <v>22659417009.799999</v>
      </c>
      <c r="BD248">
        <v>22866532270</v>
      </c>
      <c r="BE248">
        <v>25416510709.400002</v>
      </c>
      <c r="BF248">
        <v>26262224742.900002</v>
      </c>
      <c r="BG248">
        <v>27595974477.900002</v>
      </c>
      <c r="BH248">
        <v>28197062216.099998</v>
      </c>
      <c r="BI248">
        <v>29527167044.599998</v>
      </c>
      <c r="BJ248">
        <v>33714237269.700001</v>
      </c>
      <c r="BK248">
        <v>35245100362.900002</v>
      </c>
      <c r="BL248">
        <v>40224514020.400002</v>
      </c>
      <c r="BM248">
        <v>41977373872</v>
      </c>
      <c r="BN248">
        <v>43022033493.300003</v>
      </c>
      <c r="BO248">
        <v>41041206300.800003</v>
      </c>
      <c r="BP248">
        <v>42407399347.300003</v>
      </c>
      <c r="BQ248">
        <v>40459855368.300003</v>
      </c>
    </row>
    <row r="249" spans="1:69" x14ac:dyDescent="0.35">
      <c r="A249" t="s">
        <v>97</v>
      </c>
      <c r="B249" t="s">
        <v>345</v>
      </c>
      <c r="C249" t="s">
        <v>362</v>
      </c>
      <c r="D249" t="s">
        <v>493</v>
      </c>
      <c r="O249">
        <v>2746453200.1999998</v>
      </c>
      <c r="P249">
        <v>3287188317.4000001</v>
      </c>
      <c r="Q249">
        <v>3554569347.9000001</v>
      </c>
      <c r="R249">
        <v>4204209180</v>
      </c>
      <c r="S249">
        <v>4632821915.3999996</v>
      </c>
      <c r="T249">
        <v>5058841386.6999998</v>
      </c>
      <c r="U249">
        <v>6001284289.8000002</v>
      </c>
      <c r="V249">
        <v>11452264698.700001</v>
      </c>
      <c r="W249">
        <v>14854969075.5</v>
      </c>
      <c r="X249">
        <v>15928443383.200001</v>
      </c>
      <c r="Y249">
        <v>19131092825.400002</v>
      </c>
      <c r="Z249">
        <v>19235548686.700001</v>
      </c>
      <c r="AA249">
        <v>19715948884.5</v>
      </c>
      <c r="AB249">
        <v>20324049083.799999</v>
      </c>
      <c r="AC249">
        <v>21607735275.400002</v>
      </c>
      <c r="AD249">
        <v>26012647741</v>
      </c>
      <c r="AE249">
        <v>32933723354</v>
      </c>
      <c r="AF249">
        <v>40943579865.300003</v>
      </c>
      <c r="AG249">
        <v>40992842916.199997</v>
      </c>
      <c r="AH249">
        <v>41577128629.699997</v>
      </c>
      <c r="AI249">
        <v>49424152195.199997</v>
      </c>
      <c r="AJ249">
        <v>50873488639.5</v>
      </c>
      <c r="AK249">
        <v>56553858153.599998</v>
      </c>
      <c r="AL249">
        <v>68604763966</v>
      </c>
      <c r="AM249">
        <v>66249185119.699997</v>
      </c>
      <c r="AN249">
        <v>73781102423.699997</v>
      </c>
      <c r="AO249">
        <v>80624816759</v>
      </c>
      <c r="AP249">
        <v>84719917064.600006</v>
      </c>
      <c r="AQ249">
        <v>96953865165.899994</v>
      </c>
      <c r="AR249">
        <v>101784260989.89999</v>
      </c>
      <c r="AS249">
        <v>116799280014</v>
      </c>
      <c r="AT249">
        <v>112946289541.39999</v>
      </c>
      <c r="AU249">
        <v>131758157347.60001</v>
      </c>
      <c r="AV249">
        <v>148358747086.70001</v>
      </c>
      <c r="AW249">
        <v>165473833919.10001</v>
      </c>
      <c r="AX249">
        <v>178256802924.60001</v>
      </c>
      <c r="AY249">
        <v>217543154936.89999</v>
      </c>
      <c r="AZ249">
        <v>268694180713.60001</v>
      </c>
      <c r="BA249">
        <v>294446615924.59998</v>
      </c>
      <c r="BB249">
        <v>285999746316.79999</v>
      </c>
      <c r="BC249">
        <v>316646701767.79999</v>
      </c>
      <c r="BD249">
        <v>320983526166.79999</v>
      </c>
      <c r="BE249">
        <v>353395551599.79999</v>
      </c>
      <c r="BF249">
        <v>402178071207.59998</v>
      </c>
      <c r="BG249">
        <v>413804313727.09998</v>
      </c>
      <c r="BH249">
        <v>399458974329.29999</v>
      </c>
      <c r="BI249">
        <v>398941852378.29999</v>
      </c>
      <c r="BJ249">
        <v>446932919001.70001</v>
      </c>
      <c r="BK249">
        <v>425763850698.79999</v>
      </c>
      <c r="BL249">
        <v>414340675661.90002</v>
      </c>
      <c r="BM249">
        <v>429283302461.70001</v>
      </c>
      <c r="BN249">
        <v>434872791578.90002</v>
      </c>
      <c r="BO249">
        <v>455963245504.70001</v>
      </c>
      <c r="BP249">
        <v>499814231476.70001</v>
      </c>
      <c r="BQ249">
        <v>514989218110.79999</v>
      </c>
    </row>
    <row r="250" spans="1:69" x14ac:dyDescent="0.35">
      <c r="A250" t="s">
        <v>355</v>
      </c>
      <c r="B250" t="s">
        <v>78</v>
      </c>
      <c r="C250" t="s">
        <v>362</v>
      </c>
      <c r="D250" t="s">
        <v>493</v>
      </c>
    </row>
    <row r="251" spans="1:69" x14ac:dyDescent="0.35">
      <c r="A251" t="s">
        <v>462</v>
      </c>
      <c r="B251" t="s">
        <v>374</v>
      </c>
      <c r="C251" t="s">
        <v>362</v>
      </c>
      <c r="D251" t="s">
        <v>493</v>
      </c>
      <c r="O251">
        <v>197359339.59999999</v>
      </c>
      <c r="P251">
        <v>1175689697.2</v>
      </c>
      <c r="Q251">
        <v>1395653073.2</v>
      </c>
      <c r="R251">
        <v>1743024232.9000001</v>
      </c>
      <c r="S251">
        <v>2012124078.5</v>
      </c>
      <c r="T251">
        <v>2341885515.9000001</v>
      </c>
      <c r="U251">
        <v>2702042734.3000002</v>
      </c>
      <c r="V251">
        <v>3470565760.5</v>
      </c>
      <c r="W251">
        <v>4369042063.1999998</v>
      </c>
      <c r="X251">
        <v>4204051877.4000001</v>
      </c>
      <c r="Y251">
        <v>5242016814.1000004</v>
      </c>
      <c r="Z251">
        <v>5759615136.1999998</v>
      </c>
      <c r="AA251">
        <v>6133770760.5</v>
      </c>
      <c r="AB251">
        <v>6801895296.1000004</v>
      </c>
      <c r="AC251">
        <v>7164254486.8999996</v>
      </c>
      <c r="AD251">
        <v>9095920165.7999992</v>
      </c>
      <c r="AE251">
        <v>4897634852.6000004</v>
      </c>
      <c r="AF251">
        <v>5503879743.6000004</v>
      </c>
      <c r="AG251">
        <v>6009342992.5</v>
      </c>
      <c r="AH251">
        <v>5850572265.1000004</v>
      </c>
      <c r="AI251">
        <v>6433296456.8000002</v>
      </c>
      <c r="AJ251">
        <v>6559510656.1999998</v>
      </c>
      <c r="AK251">
        <v>6669441127.1000004</v>
      </c>
      <c r="AL251">
        <v>6769309416.1000004</v>
      </c>
      <c r="AM251">
        <v>7228012552.6000004</v>
      </c>
      <c r="AN251">
        <v>7370950562.8999996</v>
      </c>
      <c r="AO251">
        <v>7344102230.6000004</v>
      </c>
      <c r="AP251">
        <v>7110106281.6999998</v>
      </c>
      <c r="AQ251">
        <v>7513384451.3999996</v>
      </c>
      <c r="AR251">
        <v>7917712561.6000004</v>
      </c>
      <c r="AS251">
        <v>7199694579.5</v>
      </c>
      <c r="AT251">
        <v>6524969893</v>
      </c>
      <c r="AU251">
        <v>7160913799.6999998</v>
      </c>
      <c r="AV251">
        <v>7324529897.6999998</v>
      </c>
      <c r="AW251">
        <v>8633807766.7999992</v>
      </c>
      <c r="AX251">
        <v>8428157886.3999996</v>
      </c>
      <c r="AY251">
        <v>4108484081.8000002</v>
      </c>
      <c r="AZ251">
        <v>5041991584.8999996</v>
      </c>
      <c r="BA251">
        <v>6034526339.8000002</v>
      </c>
      <c r="BB251">
        <v>7760045698</v>
      </c>
      <c r="BC251">
        <v>8940294123.7999992</v>
      </c>
      <c r="BD251">
        <v>10129709978.700001</v>
      </c>
      <c r="BE251">
        <v>12051758630</v>
      </c>
      <c r="BF251">
        <v>13970650221.5</v>
      </c>
      <c r="BG251">
        <v>16391470516.4</v>
      </c>
      <c r="BH251">
        <v>18341850201.799999</v>
      </c>
      <c r="BI251">
        <v>19530747919.299999</v>
      </c>
      <c r="BJ251">
        <v>21616674354.799999</v>
      </c>
      <c r="BK251">
        <v>22629441143.599998</v>
      </c>
      <c r="BL251">
        <v>24451640158.599998</v>
      </c>
      <c r="BM251">
        <v>25772198397</v>
      </c>
      <c r="BN251">
        <v>28817909448.5</v>
      </c>
      <c r="BO251">
        <v>30443587044.599998</v>
      </c>
      <c r="BP251">
        <v>34584902584.900002</v>
      </c>
      <c r="BQ251">
        <v>36343119611.599998</v>
      </c>
    </row>
    <row r="252" spans="1:69" x14ac:dyDescent="0.35">
      <c r="A252" t="s">
        <v>567</v>
      </c>
      <c r="B252" t="s">
        <v>130</v>
      </c>
      <c r="C252" t="s">
        <v>362</v>
      </c>
      <c r="D252" t="s">
        <v>493</v>
      </c>
      <c r="O252">
        <v>151676389.30000001</v>
      </c>
      <c r="P252">
        <v>172358506.40000001</v>
      </c>
      <c r="Q252">
        <v>177715260.90000001</v>
      </c>
      <c r="R252">
        <v>175538182.30000001</v>
      </c>
      <c r="S252">
        <v>202067895.40000001</v>
      </c>
      <c r="T252">
        <v>209213939.30000001</v>
      </c>
      <c r="U252">
        <v>243891748.69999999</v>
      </c>
      <c r="V252">
        <v>300756081.10000002</v>
      </c>
      <c r="W252">
        <v>426836504.39999998</v>
      </c>
      <c r="X252">
        <v>588284930.70000005</v>
      </c>
      <c r="Y252">
        <v>690503150.70000005</v>
      </c>
      <c r="Z252">
        <v>707175104.79999995</v>
      </c>
      <c r="AA252">
        <v>874408802.70000005</v>
      </c>
      <c r="AB252">
        <v>1009041289.7</v>
      </c>
      <c r="AC252">
        <v>1074247779.2</v>
      </c>
      <c r="AD252">
        <v>1238566867.3</v>
      </c>
      <c r="AE252">
        <v>1422906331.5</v>
      </c>
      <c r="AF252">
        <v>1935609124.5999999</v>
      </c>
      <c r="AG252">
        <v>1940761841.0999999</v>
      </c>
      <c r="AH252">
        <v>2196167747.9000001</v>
      </c>
      <c r="AI252">
        <v>2605823363.9000001</v>
      </c>
      <c r="AJ252">
        <v>2803285020.5</v>
      </c>
      <c r="AK252">
        <v>2951348322.8000002</v>
      </c>
      <c r="AL252">
        <v>3052849509.0999999</v>
      </c>
      <c r="AM252">
        <v>3397572158.9000001</v>
      </c>
      <c r="AN252">
        <v>3608776798.0999999</v>
      </c>
      <c r="AO252">
        <v>3710237065</v>
      </c>
      <c r="AP252">
        <v>3907829289.6999998</v>
      </c>
      <c r="AQ252">
        <v>3941902486.6999998</v>
      </c>
      <c r="AR252">
        <v>3537939246.8000002</v>
      </c>
      <c r="AS252">
        <v>3535147374.5</v>
      </c>
      <c r="AT252">
        <v>3768195790.9000001</v>
      </c>
      <c r="AU252">
        <v>4019812753.0999999</v>
      </c>
      <c r="AV252">
        <v>4577712717.6000004</v>
      </c>
      <c r="AW252">
        <v>4789438348.3999996</v>
      </c>
      <c r="AX252">
        <v>4460499217.3999996</v>
      </c>
      <c r="AY252">
        <v>1300697179.9000001</v>
      </c>
      <c r="AZ252">
        <v>1653066727.0999999</v>
      </c>
      <c r="BA252">
        <v>2292861399.0999999</v>
      </c>
      <c r="BB252">
        <v>2763176528.0999999</v>
      </c>
      <c r="BC252">
        <v>2974602244.9000001</v>
      </c>
      <c r="BD252">
        <v>3262582093.9000001</v>
      </c>
      <c r="BE252">
        <v>3776131388.0999999</v>
      </c>
      <c r="BF252">
        <v>8559917108</v>
      </c>
      <c r="BG252">
        <v>8651413817.7999992</v>
      </c>
      <c r="BH252">
        <v>9570705817.8999996</v>
      </c>
      <c r="BI252">
        <v>10088174030.4</v>
      </c>
      <c r="BJ252">
        <v>11680184912</v>
      </c>
      <c r="BK252">
        <v>12328664225.9</v>
      </c>
      <c r="BL252">
        <v>13994340551.700001</v>
      </c>
      <c r="BM252">
        <v>17701616973.900002</v>
      </c>
      <c r="BN252">
        <v>20671049844</v>
      </c>
      <c r="BO252">
        <v>21041076730.200001</v>
      </c>
      <c r="BP252">
        <v>20284809913.299999</v>
      </c>
      <c r="BQ252">
        <v>20534369198</v>
      </c>
    </row>
    <row r="253" spans="1:69" x14ac:dyDescent="0.35">
      <c r="A253" t="s">
        <v>353</v>
      </c>
      <c r="B253" t="s">
        <v>411</v>
      </c>
      <c r="C253" t="s">
        <v>362</v>
      </c>
      <c r="D253" t="s">
        <v>493</v>
      </c>
      <c r="AK253">
        <v>550691959.60000002</v>
      </c>
      <c r="AL253">
        <v>3855492092.5999999</v>
      </c>
      <c r="AM253">
        <v>5636653268.1999998</v>
      </c>
      <c r="AN253">
        <v>8429952804.6999998</v>
      </c>
      <c r="AO253">
        <v>9538672857.7999992</v>
      </c>
      <c r="AP253">
        <v>11133852083</v>
      </c>
      <c r="AQ253">
        <v>13073030721.9</v>
      </c>
      <c r="AR253">
        <v>15753044628.1</v>
      </c>
      <c r="AS253">
        <v>13915483185</v>
      </c>
      <c r="AT253">
        <v>22209140729.200001</v>
      </c>
      <c r="AU253">
        <v>23485797434.5</v>
      </c>
      <c r="AV253">
        <v>25866011946</v>
      </c>
      <c r="AW253">
        <v>32109497693.799999</v>
      </c>
      <c r="AX253">
        <v>35100157138.599998</v>
      </c>
      <c r="AY253">
        <v>54269247857.599998</v>
      </c>
      <c r="AZ253">
        <v>80811501426.600006</v>
      </c>
      <c r="BA253">
        <v>99522725087.100006</v>
      </c>
      <c r="BB253">
        <v>105305698734.2</v>
      </c>
      <c r="BC253">
        <v>124526897803.89999</v>
      </c>
      <c r="BD253">
        <v>137133975946.7</v>
      </c>
      <c r="BE253">
        <v>133747125433.2</v>
      </c>
      <c r="BF253">
        <v>146936247161.29999</v>
      </c>
      <c r="BG253">
        <v>127657360096.10001</v>
      </c>
      <c r="BH253">
        <v>118566228266.3</v>
      </c>
      <c r="BI253">
        <v>116341600303.7</v>
      </c>
      <c r="BJ253">
        <v>124415462467.7</v>
      </c>
      <c r="BK253">
        <v>122565904091.89999</v>
      </c>
      <c r="BL253">
        <v>125724670239.8</v>
      </c>
      <c r="BM253">
        <v>133405532754.5</v>
      </c>
      <c r="BN253">
        <v>136907590904.5</v>
      </c>
      <c r="BO253">
        <v>143390581298</v>
      </c>
      <c r="BP253">
        <v>178988919079.29999</v>
      </c>
      <c r="BQ253">
        <v>193492461258.89999</v>
      </c>
    </row>
    <row r="254" spans="1:69" x14ac:dyDescent="0.35">
      <c r="A254" t="s">
        <v>133</v>
      </c>
      <c r="B254" t="s">
        <v>486</v>
      </c>
      <c r="C254" t="s">
        <v>362</v>
      </c>
      <c r="D254" t="s">
        <v>493</v>
      </c>
      <c r="O254">
        <v>37566220444.799995</v>
      </c>
      <c r="P254">
        <v>43924589767.900009</v>
      </c>
      <c r="Q254">
        <v>52886557340.599991</v>
      </c>
      <c r="R254">
        <v>64680542945.600006</v>
      </c>
      <c r="S254">
        <v>82173662743.5</v>
      </c>
      <c r="T254">
        <v>99687764442.200012</v>
      </c>
      <c r="U254">
        <v>122625193337.60001</v>
      </c>
      <c r="V254">
        <v>161595769649.89999</v>
      </c>
      <c r="W254">
        <v>198076851748.60001</v>
      </c>
      <c r="X254">
        <v>232876978827.20004</v>
      </c>
      <c r="Y254">
        <v>284881125662.1001</v>
      </c>
      <c r="Z254">
        <v>334142615569.40002</v>
      </c>
      <c r="AA254">
        <v>377460860621.69995</v>
      </c>
      <c r="AB254">
        <v>401366044469.79999</v>
      </c>
      <c r="AC254">
        <v>418187843443.39996</v>
      </c>
      <c r="AD254">
        <v>449621467826.20007</v>
      </c>
      <c r="AE254">
        <v>490520345274.79993</v>
      </c>
      <c r="AF254">
        <v>557928054111.8999</v>
      </c>
      <c r="AG254">
        <v>556472767994.50012</v>
      </c>
      <c r="AH254">
        <v>565984215169.09998</v>
      </c>
      <c r="AI254">
        <v>618576601236.69995</v>
      </c>
      <c r="AJ254">
        <v>661262401480.80005</v>
      </c>
      <c r="AK254">
        <v>705096292270.00012</v>
      </c>
      <c r="AL254">
        <v>796926742722.09985</v>
      </c>
      <c r="AM254">
        <v>899138053336.1001</v>
      </c>
      <c r="AN254">
        <v>1052529626712.7001</v>
      </c>
      <c r="AO254">
        <v>1110784169350.6001</v>
      </c>
      <c r="AP254">
        <v>1169975302530.9998</v>
      </c>
      <c r="AQ254">
        <v>1274253583810.3999</v>
      </c>
      <c r="AR254">
        <v>1306921343435.8</v>
      </c>
      <c r="AS254">
        <v>1283760339018.3</v>
      </c>
      <c r="AT254">
        <v>1320102599843.9998</v>
      </c>
      <c r="AU254">
        <v>1340256506578.7998</v>
      </c>
      <c r="AV254">
        <v>1444701373732.7</v>
      </c>
      <c r="AW254">
        <v>1585916150183.1997</v>
      </c>
      <c r="AX254">
        <v>1584672331747.7996</v>
      </c>
      <c r="AY254">
        <v>1725192215185.7998</v>
      </c>
      <c r="AZ254">
        <v>2018841917359.9004</v>
      </c>
      <c r="BA254">
        <v>2131448416824.2</v>
      </c>
      <c r="BB254">
        <v>2304122279670.0996</v>
      </c>
      <c r="BC254">
        <v>2900367428736.6997</v>
      </c>
      <c r="BD254">
        <v>3418948423320.0996</v>
      </c>
      <c r="BE254">
        <v>3796929106482.1011</v>
      </c>
      <c r="BF254">
        <v>4381925726251.3003</v>
      </c>
      <c r="BG254">
        <v>4852955829278.499</v>
      </c>
      <c r="BH254">
        <v>4365178367358.7998</v>
      </c>
      <c r="BI254">
        <v>4530306755459</v>
      </c>
      <c r="BJ254">
        <v>5082780866353.0996</v>
      </c>
      <c r="BK254">
        <v>5471120108677.5996</v>
      </c>
      <c r="BL254">
        <v>5701624877871.9004</v>
      </c>
      <c r="BM254">
        <v>5969125703200.4014</v>
      </c>
      <c r="BN254">
        <v>6439660843145.6992</v>
      </c>
      <c r="BO254">
        <v>6276115491780.9014</v>
      </c>
      <c r="BP254">
        <v>6336548776358.3008</v>
      </c>
      <c r="BQ254">
        <v>6356007145291.999</v>
      </c>
    </row>
    <row r="255" spans="1:69" x14ac:dyDescent="0.35">
      <c r="A255" t="s">
        <v>431</v>
      </c>
      <c r="B255" t="s">
        <v>596</v>
      </c>
      <c r="C255" t="s">
        <v>362</v>
      </c>
      <c r="D255" t="s">
        <v>493</v>
      </c>
    </row>
    <row r="256" spans="1:69" x14ac:dyDescent="0.35">
      <c r="A256" t="s">
        <v>327</v>
      </c>
      <c r="B256" t="s">
        <v>506</v>
      </c>
      <c r="C256" t="s">
        <v>362</v>
      </c>
      <c r="D256" t="s">
        <v>493</v>
      </c>
    </row>
    <row r="257" spans="1:69" x14ac:dyDescent="0.35">
      <c r="A257" t="s">
        <v>253</v>
      </c>
      <c r="B257" t="s">
        <v>127</v>
      </c>
      <c r="C257" t="s">
        <v>362</v>
      </c>
      <c r="D257" t="s">
        <v>493</v>
      </c>
      <c r="AK257">
        <v>59702042.899999999</v>
      </c>
      <c r="AL257">
        <v>1031699376.2</v>
      </c>
      <c r="AM257">
        <v>1247180534.0999999</v>
      </c>
      <c r="AN257">
        <v>1803493027.5999999</v>
      </c>
      <c r="AO257">
        <v>2394880249.5</v>
      </c>
      <c r="AP257">
        <v>2934807714.9000001</v>
      </c>
      <c r="AQ257">
        <v>3378314688.4000001</v>
      </c>
      <c r="AR257">
        <v>5315552892</v>
      </c>
      <c r="AS257">
        <v>4952972611.3000002</v>
      </c>
      <c r="AT257">
        <v>5216140553.8999996</v>
      </c>
      <c r="AU257">
        <v>5145986275</v>
      </c>
      <c r="AV257">
        <v>5328375077.6000004</v>
      </c>
      <c r="AW257">
        <v>5212039886.3000002</v>
      </c>
      <c r="AX257">
        <v>4637855219.3000002</v>
      </c>
      <c r="AY257">
        <v>4520245666.3000002</v>
      </c>
      <c r="AZ257">
        <v>4667749025.5</v>
      </c>
      <c r="BA257">
        <v>5076578346</v>
      </c>
      <c r="BB257">
        <v>7296457110.1999998</v>
      </c>
      <c r="BC257">
        <v>7986413935.6999998</v>
      </c>
      <c r="BD257">
        <v>8214908762.8999996</v>
      </c>
      <c r="BE257">
        <v>8550628096.6000004</v>
      </c>
      <c r="BF257">
        <v>10316705357.1</v>
      </c>
      <c r="BG257">
        <v>12218877368.700001</v>
      </c>
      <c r="BH257">
        <v>13571303501.200001</v>
      </c>
      <c r="BI257">
        <v>15334623459.200001</v>
      </c>
      <c r="BJ257">
        <v>16701437846.799999</v>
      </c>
      <c r="BK257">
        <v>18258516232.900002</v>
      </c>
      <c r="BL257">
        <v>24961864235.400002</v>
      </c>
      <c r="BM257">
        <v>37154092630</v>
      </c>
      <c r="BN257">
        <v>44872282608.599998</v>
      </c>
      <c r="BO257">
        <v>53592822615.900002</v>
      </c>
      <c r="BP257">
        <v>61569881480.800003</v>
      </c>
      <c r="BQ257">
        <v>70256401083.600006</v>
      </c>
    </row>
    <row r="258" spans="1:69" x14ac:dyDescent="0.35">
      <c r="A258" t="s">
        <v>42</v>
      </c>
      <c r="B258" t="s">
        <v>84</v>
      </c>
      <c r="C258" t="s">
        <v>362</v>
      </c>
      <c r="D258" t="s">
        <v>493</v>
      </c>
      <c r="O258">
        <v>1455000</v>
      </c>
      <c r="P258">
        <v>739739.9</v>
      </c>
      <c r="Q258">
        <v>775370.6</v>
      </c>
      <c r="R258">
        <v>2787896.7</v>
      </c>
      <c r="S258">
        <v>3191053.4</v>
      </c>
      <c r="T258">
        <v>3447069.1</v>
      </c>
      <c r="U258">
        <v>3738360.1</v>
      </c>
      <c r="V258">
        <v>4743825.9000000004</v>
      </c>
      <c r="W258">
        <v>5687595.0999999996</v>
      </c>
      <c r="X258">
        <v>7234320.0999999996</v>
      </c>
      <c r="Y258">
        <v>10627041.1</v>
      </c>
      <c r="Z258">
        <v>18816945.800000001</v>
      </c>
      <c r="AA258">
        <v>21223599.300000001</v>
      </c>
      <c r="AB258">
        <v>25598113.5</v>
      </c>
      <c r="AC258">
        <v>24938323.399999999</v>
      </c>
      <c r="AD258">
        <v>27183652.600000001</v>
      </c>
      <c r="AE258">
        <v>31363091.199999999</v>
      </c>
      <c r="AF258">
        <v>41508524.100000001</v>
      </c>
      <c r="AG258">
        <v>48275112</v>
      </c>
      <c r="AH258">
        <v>52729174.799999997</v>
      </c>
      <c r="AI258">
        <v>62704235.799999997</v>
      </c>
      <c r="AJ258">
        <v>68854801.5</v>
      </c>
      <c r="AK258">
        <v>76245651.299999997</v>
      </c>
      <c r="AL258">
        <v>101713065</v>
      </c>
      <c r="AM258">
        <v>114170293.90000001</v>
      </c>
      <c r="AN258">
        <v>118297375.09999999</v>
      </c>
      <c r="AO258">
        <v>122492508.5</v>
      </c>
      <c r="AP258">
        <v>117721039.09999999</v>
      </c>
      <c r="AQ258">
        <v>136298403.30000001</v>
      </c>
      <c r="AR258">
        <v>193802389.09999999</v>
      </c>
      <c r="AS258">
        <v>195077653.90000001</v>
      </c>
      <c r="AT258">
        <v>195046431.69999999</v>
      </c>
      <c r="AU258">
        <v>175623164.09999999</v>
      </c>
      <c r="AV258">
        <v>199272731.09999999</v>
      </c>
      <c r="AW258">
        <v>228632793.90000001</v>
      </c>
      <c r="AX258">
        <v>252491855.59999999</v>
      </c>
      <c r="AY258">
        <v>246092213.30000001</v>
      </c>
      <c r="AZ258">
        <v>205143941.40000001</v>
      </c>
      <c r="BA258">
        <v>230929973.80000001</v>
      </c>
      <c r="BB258">
        <v>245787199.09999999</v>
      </c>
      <c r="BC258">
        <v>297080726</v>
      </c>
      <c r="BD258">
        <v>305483106.80000001</v>
      </c>
      <c r="BE258">
        <v>291830439.60000002</v>
      </c>
      <c r="BF258">
        <v>319961399.19999999</v>
      </c>
      <c r="BG258">
        <v>357428939.80000001</v>
      </c>
      <c r="BH258">
        <v>371370550.69999999</v>
      </c>
      <c r="BI258">
        <v>361331556.39999998</v>
      </c>
      <c r="BJ258">
        <v>355330480.30000001</v>
      </c>
      <c r="BK258">
        <v>330129626.30000001</v>
      </c>
      <c r="BL258">
        <v>340522245.39999998</v>
      </c>
      <c r="BM258">
        <v>451681230</v>
      </c>
      <c r="BN258">
        <v>571430487.39999998</v>
      </c>
      <c r="BO258">
        <v>624480820</v>
      </c>
      <c r="BP258">
        <v>698454746.10000002</v>
      </c>
      <c r="BQ258">
        <v>806447451.39999998</v>
      </c>
    </row>
    <row r="259" spans="1:69" x14ac:dyDescent="0.35">
      <c r="A259" t="s">
        <v>64</v>
      </c>
      <c r="B259" t="s">
        <v>261</v>
      </c>
      <c r="C259" t="s">
        <v>362</v>
      </c>
      <c r="D259" t="s">
        <v>493</v>
      </c>
    </row>
    <row r="260" spans="1:69" x14ac:dyDescent="0.35">
      <c r="A260" t="s">
        <v>265</v>
      </c>
      <c r="B260" t="s">
        <v>487</v>
      </c>
      <c r="C260" t="s">
        <v>362</v>
      </c>
      <c r="D260" t="s">
        <v>493</v>
      </c>
    </row>
    <row r="261" spans="1:69" x14ac:dyDescent="0.35">
      <c r="A261" t="s">
        <v>349</v>
      </c>
      <c r="B261" t="s">
        <v>111</v>
      </c>
      <c r="C261" t="s">
        <v>362</v>
      </c>
      <c r="D261" t="s">
        <v>493</v>
      </c>
    </row>
    <row r="262" spans="1:69" x14ac:dyDescent="0.35">
      <c r="A262" t="s">
        <v>320</v>
      </c>
      <c r="B262" t="s">
        <v>517</v>
      </c>
      <c r="C262" t="s">
        <v>362</v>
      </c>
      <c r="D262" t="s">
        <v>493</v>
      </c>
      <c r="Z262">
        <v>25579000</v>
      </c>
      <c r="AA262">
        <v>42766000</v>
      </c>
      <c r="AB262">
        <v>52564000</v>
      </c>
      <c r="AC262">
        <v>54570000</v>
      </c>
      <c r="AD262">
        <v>61267000</v>
      </c>
      <c r="AE262">
        <v>174639228.80000001</v>
      </c>
      <c r="AF262">
        <v>191481041.40000001</v>
      </c>
      <c r="AG262">
        <v>617484768.79999995</v>
      </c>
      <c r="AH262">
        <v>20705352668.400002</v>
      </c>
      <c r="AI262">
        <v>23270062150.099998</v>
      </c>
      <c r="AJ262">
        <v>23395041592.5</v>
      </c>
      <c r="AK262">
        <v>24389145840.700001</v>
      </c>
      <c r="AL262">
        <v>24224319557.599998</v>
      </c>
      <c r="AM262">
        <v>24855517887.400002</v>
      </c>
      <c r="AN262">
        <v>25483320390.599998</v>
      </c>
      <c r="AO262">
        <v>26309991483.299999</v>
      </c>
      <c r="AP262">
        <v>21830829876.400002</v>
      </c>
      <c r="AQ262">
        <v>22512305266.700001</v>
      </c>
      <c r="AR262">
        <v>23328780655.5</v>
      </c>
      <c r="AS262">
        <v>12841178044.200001</v>
      </c>
      <c r="AT262">
        <v>12632834003.6</v>
      </c>
      <c r="AU262">
        <v>13342966639.1</v>
      </c>
      <c r="AV262">
        <v>15592997724.700001</v>
      </c>
      <c r="AW262">
        <v>17631234906.799999</v>
      </c>
      <c r="AX262">
        <v>18593542977.200001</v>
      </c>
      <c r="AY262">
        <v>18752446327.700001</v>
      </c>
      <c r="AZ262">
        <v>23135389256</v>
      </c>
      <c r="BA262">
        <v>26497616052.599998</v>
      </c>
      <c r="BB262">
        <v>32773324076.799999</v>
      </c>
      <c r="BC262">
        <v>45021621601.699997</v>
      </c>
      <c r="BD262">
        <v>54319557705.400002</v>
      </c>
      <c r="BE262">
        <v>62254441307.599998</v>
      </c>
      <c r="BF262">
        <v>66249485679.800003</v>
      </c>
      <c r="BG262">
        <v>74733824699.100006</v>
      </c>
      <c r="BH262">
        <v>81824874001.800003</v>
      </c>
      <c r="BI262">
        <v>90484088511.699997</v>
      </c>
      <c r="BJ262">
        <v>109893164470.10001</v>
      </c>
      <c r="BK262">
        <v>112621985456.89999</v>
      </c>
      <c r="BL262">
        <v>122495972199.3</v>
      </c>
      <c r="BM262">
        <v>129479217056.5</v>
      </c>
      <c r="BN262">
        <v>139852502036.79999</v>
      </c>
      <c r="BO262">
        <v>146621789309.10001</v>
      </c>
      <c r="BP262">
        <v>141845082045.70001</v>
      </c>
      <c r="BQ262">
        <v>132907340372.3</v>
      </c>
    </row>
    <row r="263" spans="1:69" x14ac:dyDescent="0.35">
      <c r="A263" t="s">
        <v>515</v>
      </c>
      <c r="B263" t="s">
        <v>101</v>
      </c>
      <c r="C263" t="s">
        <v>362</v>
      </c>
      <c r="D263" t="s">
        <v>493</v>
      </c>
      <c r="Z263">
        <v>3008900</v>
      </c>
      <c r="AA263">
        <v>4077203.2</v>
      </c>
      <c r="AB263">
        <v>10619149</v>
      </c>
      <c r="AC263">
        <v>12939707.6</v>
      </c>
      <c r="AD263">
        <v>15762868.4</v>
      </c>
      <c r="AE263">
        <v>18237361.199999999</v>
      </c>
      <c r="AF263">
        <v>23649703.399999999</v>
      </c>
      <c r="AG263">
        <v>26778350.600000001</v>
      </c>
      <c r="AH263">
        <v>30315049.899999999</v>
      </c>
      <c r="AI263">
        <v>38217710.600000001</v>
      </c>
      <c r="AJ263">
        <v>34869375.100000001</v>
      </c>
      <c r="AK263">
        <v>36227064.600000001</v>
      </c>
      <c r="AL263">
        <v>40189501.799999997</v>
      </c>
      <c r="AM263">
        <v>45581300.899999999</v>
      </c>
      <c r="AN263">
        <v>48945486.700000003</v>
      </c>
      <c r="AO263">
        <v>47879676.100000001</v>
      </c>
      <c r="AP263">
        <v>48734564</v>
      </c>
      <c r="AQ263">
        <v>64167377.700000003</v>
      </c>
      <c r="AR263">
        <v>87977202.200000003</v>
      </c>
      <c r="AS263">
        <v>112263772.8</v>
      </c>
      <c r="AT263">
        <v>122663924.09999999</v>
      </c>
      <c r="AU263">
        <v>160584256.69999999</v>
      </c>
      <c r="AV263">
        <v>161146227.59999999</v>
      </c>
      <c r="AW263">
        <v>153931970.5</v>
      </c>
      <c r="AX263">
        <v>100347467.5</v>
      </c>
      <c r="AY263">
        <v>110583704.2</v>
      </c>
      <c r="AZ263">
        <v>127898893.3</v>
      </c>
      <c r="BA263">
        <v>148880846.80000001</v>
      </c>
      <c r="BB263">
        <v>153308882.30000001</v>
      </c>
      <c r="BC263">
        <v>177656192.90000001</v>
      </c>
      <c r="BD263">
        <v>178444531.30000001</v>
      </c>
      <c r="BE263">
        <v>182211940.19999999</v>
      </c>
      <c r="BF263">
        <v>158471630.69999999</v>
      </c>
      <c r="BG263">
        <v>203273624.19999999</v>
      </c>
      <c r="BH263">
        <v>256793136.30000001</v>
      </c>
      <c r="BI263">
        <v>293420900.69999999</v>
      </c>
      <c r="BJ263">
        <v>401420199.80000001</v>
      </c>
      <c r="BK263">
        <v>402236822.39999998</v>
      </c>
      <c r="BL263">
        <v>424722517.30000001</v>
      </c>
      <c r="BM263">
        <v>439945229.10000002</v>
      </c>
      <c r="BN263">
        <v>476744807.89999998</v>
      </c>
      <c r="BO263">
        <v>463433624.10000002</v>
      </c>
      <c r="BP263">
        <v>470663727</v>
      </c>
      <c r="BQ263">
        <v>519876544.10000002</v>
      </c>
    </row>
    <row r="264" spans="1:69" x14ac:dyDescent="0.35">
      <c r="A264" t="s">
        <v>483</v>
      </c>
      <c r="B264" t="s">
        <v>584</v>
      </c>
      <c r="C264" t="s">
        <v>362</v>
      </c>
      <c r="D264" t="s">
        <v>493</v>
      </c>
    </row>
    <row r="265" spans="1:69" x14ac:dyDescent="0.35">
      <c r="A265" t="s">
        <v>149</v>
      </c>
      <c r="B265" t="s">
        <v>394</v>
      </c>
      <c r="C265" t="s">
        <v>362</v>
      </c>
      <c r="D265" t="s">
        <v>493</v>
      </c>
      <c r="O265">
        <v>2682000</v>
      </c>
      <c r="P265">
        <v>2610000</v>
      </c>
      <c r="Q265">
        <v>4379777.5</v>
      </c>
      <c r="R265">
        <v>9456791.5999999996</v>
      </c>
      <c r="S265">
        <v>13799580.800000001</v>
      </c>
      <c r="T265">
        <v>17391126.300000001</v>
      </c>
      <c r="U265">
        <v>22628900.5</v>
      </c>
      <c r="V265">
        <v>31252284.100000001</v>
      </c>
      <c r="W265">
        <v>41241571.799999997</v>
      </c>
      <c r="X265">
        <v>52517271.399999999</v>
      </c>
      <c r="Y265">
        <v>59194566.399999999</v>
      </c>
      <c r="Z265">
        <v>62601249.899999999</v>
      </c>
      <c r="AA265">
        <v>65784847.200000003</v>
      </c>
      <c r="AB265">
        <v>67685684.900000006</v>
      </c>
      <c r="AC265">
        <v>73522284.200000003</v>
      </c>
      <c r="AD265">
        <v>75130478.400000006</v>
      </c>
      <c r="AE265">
        <v>74756808.799999997</v>
      </c>
      <c r="AF265">
        <v>79618722.400000006</v>
      </c>
      <c r="AG265">
        <v>74958145.299999997</v>
      </c>
      <c r="AH265">
        <v>73538371.700000003</v>
      </c>
      <c r="AI265">
        <v>91806619.400000006</v>
      </c>
      <c r="AJ265">
        <v>113648764.5</v>
      </c>
      <c r="AK265">
        <v>117763888.7</v>
      </c>
      <c r="AL265">
        <v>140498861</v>
      </c>
      <c r="AM265">
        <v>154590275</v>
      </c>
      <c r="AN265">
        <v>160047723.19999999</v>
      </c>
      <c r="AO265">
        <v>153447044.19999999</v>
      </c>
      <c r="AP265">
        <v>138788873.59999999</v>
      </c>
      <c r="AQ265">
        <v>143914846.59999999</v>
      </c>
      <c r="AR265">
        <v>148001778.40000001</v>
      </c>
      <c r="AS265">
        <v>139172179.40000001</v>
      </c>
      <c r="AT265">
        <v>135466609.5</v>
      </c>
      <c r="AU265">
        <v>148295167</v>
      </c>
      <c r="AV265">
        <v>168610857.80000001</v>
      </c>
      <c r="AW265">
        <v>176496322.69999999</v>
      </c>
      <c r="AX265">
        <v>169098029.90000001</v>
      </c>
      <c r="AY265">
        <v>165440757.30000001</v>
      </c>
      <c r="AZ265">
        <v>187694141.09999999</v>
      </c>
      <c r="BA265">
        <v>207365268.09999999</v>
      </c>
      <c r="BB265">
        <v>252885686.90000001</v>
      </c>
      <c r="BC265">
        <v>325098258.89999998</v>
      </c>
      <c r="BD265">
        <v>368308475.69999999</v>
      </c>
      <c r="BE265">
        <v>422904430.80000001</v>
      </c>
      <c r="BF265">
        <v>467876307.30000001</v>
      </c>
      <c r="BG265">
        <v>483662948.89999998</v>
      </c>
      <c r="BH265">
        <v>466304621</v>
      </c>
      <c r="BI265">
        <v>444079880.5</v>
      </c>
      <c r="BJ265">
        <v>473243541.60000002</v>
      </c>
      <c r="BK265">
        <v>446524190.60000002</v>
      </c>
      <c r="BL265">
        <v>434855300.10000002</v>
      </c>
      <c r="BM265">
        <v>477263797.5</v>
      </c>
      <c r="BN265">
        <v>505617952.80000001</v>
      </c>
      <c r="BO265">
        <v>470703052.19999999</v>
      </c>
      <c r="BP265">
        <v>432494880.39999998</v>
      </c>
      <c r="BQ265">
        <v>394938377.5</v>
      </c>
    </row>
    <row r="266" spans="1:69" x14ac:dyDescent="0.35">
      <c r="A266" t="s">
        <v>354</v>
      </c>
      <c r="B266" t="s">
        <v>175</v>
      </c>
      <c r="C266" t="s">
        <v>362</v>
      </c>
      <c r="D266" t="s">
        <v>493</v>
      </c>
      <c r="AR266">
        <v>75993698.099999994</v>
      </c>
      <c r="AS266">
        <v>72140059</v>
      </c>
      <c r="AT266">
        <v>69583145.700000003</v>
      </c>
      <c r="AU266">
        <v>75274464.799999997</v>
      </c>
      <c r="AV266">
        <v>82275800.700000003</v>
      </c>
      <c r="AW266">
        <v>85987699.099999994</v>
      </c>
      <c r="AX266">
        <v>79136411.599999994</v>
      </c>
      <c r="AY266">
        <v>83296240.5</v>
      </c>
      <c r="AZ266">
        <v>534737934.60000002</v>
      </c>
      <c r="BA266">
        <v>709873305.5</v>
      </c>
      <c r="BB266">
        <v>1725715832.4000001</v>
      </c>
      <c r="BC266">
        <v>1701042979.9000001</v>
      </c>
      <c r="BD266">
        <v>1945016128.5999999</v>
      </c>
      <c r="BE266">
        <v>2006077874.4000001</v>
      </c>
      <c r="BF266">
        <v>2220856034</v>
      </c>
      <c r="BG266">
        <v>2104353099.9000001</v>
      </c>
      <c r="BH266">
        <v>2102921437.4000001</v>
      </c>
      <c r="BI266">
        <v>2124679279.7</v>
      </c>
      <c r="BJ266">
        <v>2504211067.6999998</v>
      </c>
      <c r="BK266">
        <v>2325432781.0999999</v>
      </c>
      <c r="BL266">
        <v>2417453907.3000002</v>
      </c>
      <c r="BM266">
        <v>3088370306</v>
      </c>
      <c r="BN266">
        <v>3345673086.1999998</v>
      </c>
      <c r="BO266">
        <v>3660395633.4000001</v>
      </c>
      <c r="BP266">
        <v>4240846707.8000002</v>
      </c>
      <c r="BQ266">
        <v>4395488576.1000004</v>
      </c>
    </row>
    <row r="267" spans="1:69" x14ac:dyDescent="0.35">
      <c r="A267" t="s">
        <v>571</v>
      </c>
      <c r="B267" t="s">
        <v>11</v>
      </c>
      <c r="C267" t="s">
        <v>362</v>
      </c>
      <c r="D267" t="s">
        <v>493</v>
      </c>
      <c r="P267">
        <v>48815506.200000003</v>
      </c>
      <c r="Q267">
        <v>99158610.5</v>
      </c>
      <c r="R267">
        <v>258062210.80000001</v>
      </c>
      <c r="S267">
        <v>375394628.10000002</v>
      </c>
      <c r="T267">
        <v>440332332.80000001</v>
      </c>
      <c r="U267">
        <v>535432160.60000002</v>
      </c>
      <c r="V267">
        <v>723293193.20000005</v>
      </c>
      <c r="W267">
        <v>926935662.39999998</v>
      </c>
      <c r="X267">
        <v>1174998804.7</v>
      </c>
      <c r="Y267">
        <v>1685753387.2</v>
      </c>
      <c r="Z267">
        <v>2041160549</v>
      </c>
      <c r="AA267">
        <v>2404743953.5</v>
      </c>
      <c r="AB267">
        <v>2797978897.5999999</v>
      </c>
      <c r="AC267">
        <v>3003210500.1999998</v>
      </c>
      <c r="AD267">
        <v>3340615613.9000001</v>
      </c>
      <c r="AE267">
        <v>3883330454.9000001</v>
      </c>
      <c r="AF267">
        <v>4587006088</v>
      </c>
      <c r="AG267">
        <v>5247816353.3000002</v>
      </c>
      <c r="AH267">
        <v>5594823728.8999996</v>
      </c>
      <c r="AI267">
        <v>6354026972.5</v>
      </c>
      <c r="AJ267">
        <v>6475141178.6999998</v>
      </c>
      <c r="AK267">
        <v>6573081090.5</v>
      </c>
      <c r="AL267">
        <v>5944866677.8999996</v>
      </c>
      <c r="AM267">
        <v>6153597464.6999998</v>
      </c>
      <c r="AN267">
        <v>6250665953</v>
      </c>
      <c r="AO267">
        <v>6399965191.3999996</v>
      </c>
      <c r="AP267">
        <v>3917093653.5</v>
      </c>
      <c r="AQ267">
        <v>5778379330.6999998</v>
      </c>
      <c r="AR267">
        <v>5132268503.5</v>
      </c>
      <c r="AS267">
        <v>5152412926.3999996</v>
      </c>
      <c r="AT267">
        <v>5187675837</v>
      </c>
      <c r="AU267">
        <v>5323448564.1999998</v>
      </c>
      <c r="AV267">
        <v>5480632068.8000002</v>
      </c>
      <c r="AW267">
        <v>5603364949.1999998</v>
      </c>
      <c r="AX267">
        <v>5477559319.6000004</v>
      </c>
      <c r="AY267">
        <v>5713770653.3999996</v>
      </c>
      <c r="AZ267">
        <v>6155419537.5</v>
      </c>
      <c r="BA267">
        <v>6228636614</v>
      </c>
      <c r="BB267">
        <v>6799196018.1999998</v>
      </c>
      <c r="BC267">
        <v>6504445072</v>
      </c>
      <c r="BD267">
        <v>6429107186.1999998</v>
      </c>
      <c r="BE267">
        <v>7585844974.3000002</v>
      </c>
      <c r="BF267">
        <v>7688888675.8999996</v>
      </c>
      <c r="BG267">
        <v>7723142216.8000002</v>
      </c>
      <c r="BH267">
        <v>7298886699.6000004</v>
      </c>
      <c r="BI267">
        <v>7062871730.6999998</v>
      </c>
      <c r="BJ267">
        <v>7193099657.8999996</v>
      </c>
      <c r="BK267">
        <v>7036509959</v>
      </c>
      <c r="BL267">
        <v>7055219065.6999998</v>
      </c>
      <c r="BM267">
        <v>7120836024.1999998</v>
      </c>
      <c r="BN267">
        <v>7601630730.3000002</v>
      </c>
      <c r="BO267">
        <v>7351067998.1999998</v>
      </c>
      <c r="BP267">
        <v>7283022249.3000002</v>
      </c>
      <c r="BQ267">
        <v>7086874767.3999996</v>
      </c>
    </row>
    <row r="268" spans="1:69" x14ac:dyDescent="0.35">
      <c r="A268" t="s">
        <v>396</v>
      </c>
      <c r="B268" t="s">
        <v>318</v>
      </c>
      <c r="C268" t="s">
        <v>362</v>
      </c>
      <c r="D268" t="s">
        <v>493</v>
      </c>
      <c r="AM268">
        <v>21670999666</v>
      </c>
      <c r="AN268">
        <v>25357999878.700001</v>
      </c>
      <c r="AO268">
        <v>26050000159.400002</v>
      </c>
      <c r="AP268">
        <v>30633902795.799999</v>
      </c>
      <c r="AQ268">
        <v>26014665566.299999</v>
      </c>
      <c r="AR268">
        <v>25719837975.799999</v>
      </c>
      <c r="AS268">
        <v>26668247021.200001</v>
      </c>
      <c r="AT268">
        <v>25680208730.5</v>
      </c>
      <c r="AU268">
        <v>35100005788.300003</v>
      </c>
      <c r="AV268">
        <v>40113294660.099998</v>
      </c>
      <c r="AW268">
        <v>44013592823.199997</v>
      </c>
      <c r="AX268">
        <v>45095026798.5</v>
      </c>
      <c r="AY268">
        <v>57947017293.199997</v>
      </c>
      <c r="AZ268">
        <v>72812055811.5</v>
      </c>
      <c r="BA268">
        <v>74280629524.800003</v>
      </c>
      <c r="BB268">
        <v>84384689913.600006</v>
      </c>
      <c r="BC268">
        <v>115330364542.39999</v>
      </c>
      <c r="BD268">
        <v>124146392176.7</v>
      </c>
      <c r="BE268">
        <v>147970332050</v>
      </c>
      <c r="BF268">
        <v>141651073880.39999</v>
      </c>
      <c r="BG268">
        <v>149329312096.20001</v>
      </c>
      <c r="BH268">
        <v>127752573028.5</v>
      </c>
      <c r="BI268">
        <v>144058545587</v>
      </c>
      <c r="BJ268">
        <v>175025046978.79999</v>
      </c>
      <c r="BK268">
        <v>180194489501</v>
      </c>
      <c r="BL268">
        <v>190747897765</v>
      </c>
      <c r="BM268">
        <v>175427437079.70001</v>
      </c>
      <c r="BN268">
        <v>169447431525.10001</v>
      </c>
      <c r="BO268">
        <v>171731622090.89999</v>
      </c>
      <c r="BP268">
        <v>165839388756.29999</v>
      </c>
      <c r="BQ268">
        <v>175895546993.5</v>
      </c>
    </row>
    <row r="269" spans="1:69" x14ac:dyDescent="0.35">
      <c r="A269" t="s">
        <v>7</v>
      </c>
      <c r="B269" t="s">
        <v>350</v>
      </c>
      <c r="C269" t="s">
        <v>362</v>
      </c>
      <c r="D269" t="s">
        <v>493</v>
      </c>
      <c r="O269">
        <v>813521836.29999995</v>
      </c>
      <c r="P269">
        <v>857443206</v>
      </c>
      <c r="Q269">
        <v>943514892.39999998</v>
      </c>
      <c r="R269">
        <v>1030648296.2</v>
      </c>
      <c r="S269">
        <v>1196332640</v>
      </c>
      <c r="T269">
        <v>1681371684</v>
      </c>
      <c r="U269">
        <v>1893531433.9000001</v>
      </c>
      <c r="V269">
        <v>2336027269.4000001</v>
      </c>
      <c r="W269">
        <v>2578001424.9000001</v>
      </c>
      <c r="X269">
        <v>3039848239.5</v>
      </c>
      <c r="Y269">
        <v>3252576758.8000002</v>
      </c>
      <c r="Z269">
        <v>3609972787.1999998</v>
      </c>
      <c r="AA269">
        <v>3662594056.4000001</v>
      </c>
      <c r="AB269">
        <v>3745387537.5999999</v>
      </c>
      <c r="AC269">
        <v>3751427552.9000001</v>
      </c>
      <c r="AD269">
        <v>4487171831.6999998</v>
      </c>
      <c r="AE269">
        <v>5633318265.5</v>
      </c>
      <c r="AF269">
        <v>6480343008</v>
      </c>
      <c r="AG269">
        <v>6694151924.6999998</v>
      </c>
      <c r="AH269">
        <v>6553433177.3000002</v>
      </c>
      <c r="AI269">
        <v>6904814239.3999996</v>
      </c>
      <c r="AJ269">
        <v>6958488380</v>
      </c>
      <c r="AK269">
        <v>6700065955.6000004</v>
      </c>
      <c r="AL269">
        <v>6477914987.8000002</v>
      </c>
      <c r="AM269">
        <v>6808521300.6999998</v>
      </c>
      <c r="AN269">
        <v>6957808471.6999998</v>
      </c>
      <c r="AO269">
        <v>7060056954.3000002</v>
      </c>
      <c r="AP269">
        <v>6659848622.3999996</v>
      </c>
      <c r="AQ269">
        <v>6870434146.5</v>
      </c>
      <c r="AR269">
        <v>5953049690.6999998</v>
      </c>
      <c r="AS269">
        <v>5812480208.3000002</v>
      </c>
      <c r="AT269">
        <v>6194276538.3999996</v>
      </c>
      <c r="AU269">
        <v>6681120453.3999996</v>
      </c>
      <c r="AV269">
        <v>6882252297.8999996</v>
      </c>
      <c r="AW269">
        <v>7548425739.5</v>
      </c>
      <c r="AX269">
        <v>5370018799.6000004</v>
      </c>
      <c r="AY269">
        <v>2250620968.8000002</v>
      </c>
      <c r="AZ269">
        <v>2740042630</v>
      </c>
      <c r="BA269">
        <v>2937007524.5</v>
      </c>
      <c r="BB269">
        <v>3640887245.9000001</v>
      </c>
      <c r="BC269">
        <v>4320702678.3000002</v>
      </c>
      <c r="BD269">
        <v>5199610016.1000004</v>
      </c>
      <c r="BE269">
        <v>6181891104.6000004</v>
      </c>
      <c r="BF269">
        <v>6668587065.3000002</v>
      </c>
      <c r="BG269">
        <v>9650598727</v>
      </c>
      <c r="BH269">
        <v>12310774475.799999</v>
      </c>
      <c r="BI269">
        <v>15755769971.200001</v>
      </c>
      <c r="BJ269">
        <v>23739237630.400002</v>
      </c>
      <c r="BK269">
        <v>24615978773.900002</v>
      </c>
      <c r="BL269">
        <v>29396610676.799999</v>
      </c>
      <c r="BM269">
        <v>29531412127.700001</v>
      </c>
      <c r="BN269">
        <v>26943470807.400002</v>
      </c>
      <c r="BO269">
        <v>28423406214.599998</v>
      </c>
      <c r="BP269">
        <v>29076512018.799999</v>
      </c>
      <c r="BQ269">
        <v>28117735300.5</v>
      </c>
    </row>
    <row r="270" spans="1:69" x14ac:dyDescent="0.35">
      <c r="A270" t="s">
        <v>605</v>
      </c>
      <c r="B270" t="s">
        <v>279</v>
      </c>
      <c r="C270" t="s">
        <v>362</v>
      </c>
      <c r="D270" t="s">
        <v>493</v>
      </c>
      <c r="O270">
        <v>232362560</v>
      </c>
      <c r="P270">
        <v>238495570.09999999</v>
      </c>
      <c r="Q270">
        <v>218822503.59999999</v>
      </c>
      <c r="R270">
        <v>217482194.30000001</v>
      </c>
      <c r="S270">
        <v>217428044</v>
      </c>
      <c r="T270">
        <v>186854615.40000001</v>
      </c>
      <c r="U270">
        <v>143900096.40000001</v>
      </c>
      <c r="V270">
        <v>199462732</v>
      </c>
      <c r="W270">
        <v>446075279.60000002</v>
      </c>
      <c r="X270">
        <v>559236734.39999998</v>
      </c>
      <c r="Y270">
        <v>785615492.39999998</v>
      </c>
      <c r="Z270">
        <v>1259851748</v>
      </c>
      <c r="AA270">
        <v>1874292580.4000001</v>
      </c>
      <c r="AB270">
        <v>2199842233.0999999</v>
      </c>
      <c r="AC270">
        <v>2190638145.8000002</v>
      </c>
      <c r="AD270">
        <v>2431222427.0999999</v>
      </c>
      <c r="AE270">
        <v>2646241107.5999999</v>
      </c>
      <c r="AF270">
        <v>2920820001.6999998</v>
      </c>
      <c r="AG270">
        <v>2731040074.5999999</v>
      </c>
      <c r="AH270">
        <v>2854663011.6999998</v>
      </c>
      <c r="AI270">
        <v>3317718662.6999998</v>
      </c>
      <c r="AJ270">
        <v>3516023398.5</v>
      </c>
      <c r="AK270">
        <v>4171081079.4000001</v>
      </c>
      <c r="AL270">
        <v>4315939423.5</v>
      </c>
      <c r="AM270">
        <v>4566492632.6999998</v>
      </c>
      <c r="AN270">
        <v>5081073842.6999998</v>
      </c>
      <c r="AO270">
        <v>5078066551.5</v>
      </c>
      <c r="AP270">
        <v>4965635217.8000002</v>
      </c>
      <c r="AQ270">
        <v>4686548620.5</v>
      </c>
      <c r="AR270">
        <v>4422807013.3999996</v>
      </c>
      <c r="AS270">
        <v>3966617196</v>
      </c>
      <c r="AT270">
        <v>3806895903.0999999</v>
      </c>
      <c r="AU270">
        <v>4155583405</v>
      </c>
      <c r="AV270">
        <v>4812662393</v>
      </c>
      <c r="AW270">
        <v>5187442498.8999996</v>
      </c>
      <c r="AX270">
        <v>4708840242.6000004</v>
      </c>
      <c r="AY270">
        <v>5205216962.8999996</v>
      </c>
      <c r="AZ270">
        <v>5932480067</v>
      </c>
      <c r="BA270">
        <v>6068687551.1000004</v>
      </c>
      <c r="BB270">
        <v>6426661532.3000002</v>
      </c>
      <c r="BC270">
        <v>7050340458.6000004</v>
      </c>
      <c r="BD270">
        <v>7696210288.5</v>
      </c>
      <c r="BE270">
        <v>9199019182.3999996</v>
      </c>
      <c r="BF270">
        <v>8729621434.2999992</v>
      </c>
      <c r="BG270">
        <v>8658706603.7000008</v>
      </c>
      <c r="BH270">
        <v>9995059194.1000004</v>
      </c>
      <c r="BI270">
        <v>11815422651.299999</v>
      </c>
      <c r="BJ270">
        <v>12864409243</v>
      </c>
      <c r="BK270">
        <v>12984251689.299999</v>
      </c>
      <c r="BL270">
        <v>12540836851.799999</v>
      </c>
      <c r="BM270">
        <v>13034165720.299999</v>
      </c>
      <c r="BN270">
        <v>14111057739.5</v>
      </c>
      <c r="BO270">
        <v>14120782697.4</v>
      </c>
      <c r="BP270">
        <v>14548534104.299999</v>
      </c>
      <c r="BQ270">
        <v>14403740329.700001</v>
      </c>
    </row>
  </sheetData>
  <pageMargins left="0.7" right="0.7" top="0.75" bottom="0.75" header="0.3" footer="0.3"/>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B693-17D7-49BE-AE0E-00C27DD9AD69}">
  <dimension ref="A1:R22"/>
  <sheetViews>
    <sheetView topLeftCell="O10" workbookViewId="0">
      <selection activeCell="Q3" sqref="Q3"/>
    </sheetView>
  </sheetViews>
  <sheetFormatPr defaultRowHeight="14.5" x14ac:dyDescent="0.35"/>
  <cols>
    <col min="1" max="1" width="15" bestFit="1" customWidth="1"/>
    <col min="2" max="2" width="14.453125" bestFit="1" customWidth="1"/>
    <col min="3" max="3" width="38.36328125" bestFit="1" customWidth="1"/>
    <col min="4" max="4" width="15.6328125" bestFit="1" customWidth="1"/>
    <col min="5" max="7" width="17.1796875" bestFit="1" customWidth="1"/>
    <col min="8" max="8" width="21.08984375" bestFit="1" customWidth="1"/>
    <col min="9" max="9" width="21.1796875" bestFit="1" customWidth="1"/>
    <col min="10" max="10" width="17.1796875" bestFit="1" customWidth="1"/>
    <col min="11" max="11" width="7.90625" bestFit="1" customWidth="1"/>
    <col min="12" max="12" width="19.453125" bestFit="1" customWidth="1"/>
    <col min="13" max="13" width="11.26953125" bestFit="1" customWidth="1"/>
    <col min="14" max="14" width="11.1796875" customWidth="1"/>
    <col min="15" max="15" width="21.08984375" bestFit="1" customWidth="1"/>
    <col min="16" max="16" width="14.1796875" customWidth="1"/>
    <col min="18" max="18" width="17.1796875" bestFit="1" customWidth="1"/>
    <col min="24" max="24" width="17.81640625" customWidth="1"/>
    <col min="25" max="25" width="19.7265625" bestFit="1" customWidth="1"/>
  </cols>
  <sheetData>
    <row r="1" spans="1:18" x14ac:dyDescent="0.35">
      <c r="A1" t="s">
        <v>587</v>
      </c>
      <c r="B1" t="s">
        <v>390</v>
      </c>
      <c r="C1" t="s">
        <v>184</v>
      </c>
      <c r="D1" t="s">
        <v>594</v>
      </c>
      <c r="E1" t="s">
        <v>586</v>
      </c>
      <c r="F1" t="s">
        <v>24</v>
      </c>
      <c r="G1" t="s">
        <v>83</v>
      </c>
      <c r="H1" t="s">
        <v>138</v>
      </c>
      <c r="I1" t="s">
        <v>308</v>
      </c>
      <c r="J1" t="s">
        <v>609</v>
      </c>
      <c r="K1" t="s">
        <v>610</v>
      </c>
      <c r="L1" t="s">
        <v>611</v>
      </c>
      <c r="M1" t="s">
        <v>613</v>
      </c>
      <c r="N1" t="s">
        <v>616</v>
      </c>
      <c r="O1" t="s">
        <v>617</v>
      </c>
      <c r="P1" t="s">
        <v>619</v>
      </c>
      <c r="Q1" t="s">
        <v>620</v>
      </c>
      <c r="R1" t="s">
        <v>621</v>
      </c>
    </row>
    <row r="2" spans="1:18" x14ac:dyDescent="0.35">
      <c r="A2" t="s">
        <v>408</v>
      </c>
      <c r="B2" t="s">
        <v>153</v>
      </c>
      <c r="C2" t="s">
        <v>362</v>
      </c>
      <c r="D2" t="s">
        <v>493</v>
      </c>
      <c r="E2">
        <v>2326232537961.7002</v>
      </c>
      <c r="F2">
        <v>2724353650084.7998</v>
      </c>
      <c r="G2">
        <v>2530502272052.6001</v>
      </c>
      <c r="H2" s="24">
        <v>2447537483872.7998</v>
      </c>
      <c r="I2" s="24">
        <v>2419835436491.7998</v>
      </c>
      <c r="J2">
        <f t="shared" ref="J2:J21" si="0">(I2-E2)/E2</f>
        <v>4.0237980082643274E-2</v>
      </c>
      <c r="K2">
        <f t="shared" ref="K2:K21" si="1">(I2/E2)^(1/4)-1</f>
        <v>9.911172024349213E-3</v>
      </c>
      <c r="L2" s="24">
        <f t="shared" ref="L2:L21" si="2">SUM(B2:I2)</f>
        <v>12448461380463.699</v>
      </c>
      <c r="M2" t="str">
        <f t="shared" ref="M2:M21" si="3">IF(AND(H2&lt;G2,I2&lt;=H2),"Stabilizer",IF(AND(I2&gt;H2,H2&gt;G2),"Spiraler","Slow Climber"))</f>
        <v>Stabilizer</v>
      </c>
      <c r="N2">
        <v>2020</v>
      </c>
      <c r="O2" s="24">
        <f>SUM(E2:E21)</f>
        <v>5590070148480.4004</v>
      </c>
      <c r="P2" t="str">
        <f t="shared" ref="P2:P21" si="4">A2</f>
        <v>China</v>
      </c>
      <c r="Q2">
        <f>E2/1000000000000</f>
        <v>2.3262325379617002</v>
      </c>
      <c r="R2">
        <f t="shared" ref="R2:R21" si="5">J2</f>
        <v>4.0237980082643274E-2</v>
      </c>
    </row>
    <row r="3" spans="1:18" x14ac:dyDescent="0.35">
      <c r="A3" t="s">
        <v>168</v>
      </c>
      <c r="B3" t="s">
        <v>488</v>
      </c>
      <c r="C3" t="s">
        <v>362</v>
      </c>
      <c r="D3" t="s">
        <v>493</v>
      </c>
      <c r="E3">
        <v>564979321177.09998</v>
      </c>
      <c r="F3">
        <v>611987174447.69995</v>
      </c>
      <c r="G3">
        <v>615514904164.5</v>
      </c>
      <c r="H3" s="24">
        <v>647556415555.5</v>
      </c>
      <c r="I3" s="24">
        <v>716456023890.40002</v>
      </c>
      <c r="J3">
        <f t="shared" si="0"/>
        <v>0.2681101715328405</v>
      </c>
      <c r="K3">
        <f t="shared" si="1"/>
        <v>6.1180464862534256E-2</v>
      </c>
      <c r="L3" s="24">
        <f t="shared" si="2"/>
        <v>3156493839235.1997</v>
      </c>
      <c r="M3" t="str">
        <f t="shared" si="3"/>
        <v>Spiraler</v>
      </c>
      <c r="N3">
        <v>2021</v>
      </c>
      <c r="O3" s="24">
        <f>SUM(F2:F21)</f>
        <v>6088025823934.2988</v>
      </c>
      <c r="P3" t="str">
        <f t="shared" si="4"/>
        <v>India</v>
      </c>
      <c r="Q3">
        <f t="shared" ref="Q2:Q21" si="6">E3/1000000000000</f>
        <v>0.56497932117709992</v>
      </c>
      <c r="R3">
        <f t="shared" si="5"/>
        <v>0.2681101715328405</v>
      </c>
    </row>
    <row r="4" spans="1:18" x14ac:dyDescent="0.35">
      <c r="A4" t="s">
        <v>194</v>
      </c>
      <c r="B4" t="s">
        <v>249</v>
      </c>
      <c r="C4" t="s">
        <v>362</v>
      </c>
      <c r="D4" t="s">
        <v>493</v>
      </c>
      <c r="E4">
        <v>616686384395</v>
      </c>
      <c r="F4">
        <v>601471659897.80005</v>
      </c>
      <c r="G4">
        <v>585861539733.19995</v>
      </c>
      <c r="H4" s="24">
        <v>595981151218</v>
      </c>
      <c r="I4" s="24">
        <v>591255026725</v>
      </c>
      <c r="J4">
        <f t="shared" si="0"/>
        <v>-4.1238720869359598E-2</v>
      </c>
      <c r="K4">
        <f t="shared" si="1"/>
        <v>-1.0473062029342173E-2</v>
      </c>
      <c r="L4" s="24">
        <f t="shared" si="2"/>
        <v>2991255761969</v>
      </c>
      <c r="M4" t="str">
        <f t="shared" si="3"/>
        <v>Slow Climber</v>
      </c>
      <c r="N4">
        <v>2022</v>
      </c>
      <c r="O4" s="24">
        <f>SUM(G2:G21)</f>
        <v>5917450021033.5996</v>
      </c>
      <c r="P4" t="str">
        <f t="shared" si="4"/>
        <v>Mexico</v>
      </c>
      <c r="Q4">
        <f t="shared" si="6"/>
        <v>0.61668638439500001</v>
      </c>
      <c r="R4">
        <f t="shared" si="5"/>
        <v>-4.1238720869359598E-2</v>
      </c>
    </row>
    <row r="5" spans="1:18" x14ac:dyDescent="0.35">
      <c r="A5" t="s">
        <v>485</v>
      </c>
      <c r="B5" t="s">
        <v>272</v>
      </c>
      <c r="C5" t="s">
        <v>362</v>
      </c>
      <c r="D5" t="s">
        <v>493</v>
      </c>
      <c r="E5">
        <v>549329010779</v>
      </c>
      <c r="F5">
        <v>571193915507.80005</v>
      </c>
      <c r="G5">
        <v>579257850288.19995</v>
      </c>
      <c r="H5" s="24">
        <v>607387151485.09998</v>
      </c>
      <c r="I5" s="24">
        <v>605463780812.80005</v>
      </c>
      <c r="J5">
        <f t="shared" si="0"/>
        <v>0.10218788546083828</v>
      </c>
      <c r="K5">
        <f t="shared" si="1"/>
        <v>2.4622546847660631E-2</v>
      </c>
      <c r="L5" s="24">
        <f t="shared" si="2"/>
        <v>2912631708872.9004</v>
      </c>
      <c r="M5" t="str">
        <f t="shared" si="3"/>
        <v>Slow Climber</v>
      </c>
      <c r="N5">
        <v>2023</v>
      </c>
      <c r="O5" s="24">
        <f>SUM(H2:H21)</f>
        <v>5965151508434.0996</v>
      </c>
      <c r="P5" t="str">
        <f t="shared" si="4"/>
        <v>Brazil</v>
      </c>
      <c r="Q5">
        <f t="shared" si="6"/>
        <v>0.54932901077899998</v>
      </c>
      <c r="R5">
        <f t="shared" si="5"/>
        <v>0.10218788546083828</v>
      </c>
    </row>
    <row r="6" spans="1:18" x14ac:dyDescent="0.35">
      <c r="A6" t="s">
        <v>97</v>
      </c>
      <c r="B6" t="s">
        <v>345</v>
      </c>
      <c r="C6" t="s">
        <v>362</v>
      </c>
      <c r="D6" t="s">
        <v>493</v>
      </c>
      <c r="E6">
        <v>429283302461.70001</v>
      </c>
      <c r="F6">
        <v>434872791578.90002</v>
      </c>
      <c r="G6">
        <v>455963245504.70001</v>
      </c>
      <c r="H6" s="24">
        <v>499814231476.70001</v>
      </c>
      <c r="I6" s="24">
        <v>514989218110.79999</v>
      </c>
      <c r="J6">
        <f t="shared" si="0"/>
        <v>0.19964884531409541</v>
      </c>
      <c r="K6">
        <f t="shared" si="1"/>
        <v>4.6558562064642928E-2</v>
      </c>
      <c r="L6" s="24">
        <f t="shared" si="2"/>
        <v>2334922789132.7998</v>
      </c>
      <c r="M6" t="str">
        <f t="shared" si="3"/>
        <v>Spiraler</v>
      </c>
      <c r="N6">
        <v>2024</v>
      </c>
      <c r="O6" s="24">
        <f>SUM(I2:I21)</f>
        <v>6047288887376.9004</v>
      </c>
      <c r="P6" t="str">
        <f t="shared" si="4"/>
        <v>Turkiye</v>
      </c>
      <c r="Q6">
        <f t="shared" si="6"/>
        <v>0.42928330246169999</v>
      </c>
      <c r="R6">
        <f t="shared" si="5"/>
        <v>0.19964884531409541</v>
      </c>
    </row>
    <row r="7" spans="1:18" x14ac:dyDescent="0.35">
      <c r="A7" t="s">
        <v>379</v>
      </c>
      <c r="B7" t="s">
        <v>383</v>
      </c>
      <c r="C7" t="s">
        <v>362</v>
      </c>
      <c r="D7" t="s">
        <v>493</v>
      </c>
      <c r="E7">
        <v>417036407016.70001</v>
      </c>
      <c r="F7">
        <v>417845089193.79999</v>
      </c>
      <c r="G7">
        <v>395986001909.70001</v>
      </c>
      <c r="H7" s="24">
        <v>399613483613.09998</v>
      </c>
      <c r="I7" s="24">
        <v>421059208493.79999</v>
      </c>
      <c r="J7">
        <f t="shared" si="0"/>
        <v>9.646163762721283E-3</v>
      </c>
      <c r="K7">
        <f t="shared" si="1"/>
        <v>2.4028664082913487E-3</v>
      </c>
      <c r="L7" s="24">
        <f t="shared" si="2"/>
        <v>2051540190227.0999</v>
      </c>
      <c r="M7" t="str">
        <f t="shared" si="3"/>
        <v>Spiraler</v>
      </c>
      <c r="P7" t="str">
        <f t="shared" si="4"/>
        <v>Indonesia</v>
      </c>
      <c r="Q7">
        <f t="shared" si="6"/>
        <v>0.41703640701670003</v>
      </c>
      <c r="R7">
        <f t="shared" si="5"/>
        <v>9.646163762721283E-3</v>
      </c>
    </row>
    <row r="8" spans="1:18" x14ac:dyDescent="0.35">
      <c r="A8" t="s">
        <v>396</v>
      </c>
      <c r="B8" t="s">
        <v>318</v>
      </c>
      <c r="C8" t="s">
        <v>362</v>
      </c>
      <c r="D8" t="s">
        <v>493</v>
      </c>
      <c r="E8">
        <v>175427437079.70001</v>
      </c>
      <c r="F8">
        <v>169447431525.10001</v>
      </c>
      <c r="G8">
        <v>171731622090.89999</v>
      </c>
      <c r="H8" s="24">
        <v>165839388756.29999</v>
      </c>
      <c r="I8" s="24">
        <v>175895546993.5</v>
      </c>
      <c r="J8">
        <f t="shared" si="0"/>
        <v>2.6683962417310843E-3</v>
      </c>
      <c r="K8">
        <f t="shared" si="1"/>
        <v>6.6643256585185995E-4</v>
      </c>
      <c r="L8" s="24">
        <f t="shared" si="2"/>
        <v>858341426445.5</v>
      </c>
      <c r="M8" t="str">
        <f t="shared" si="3"/>
        <v>Slow Climber</v>
      </c>
      <c r="P8" t="str">
        <f t="shared" si="4"/>
        <v>South Africa</v>
      </c>
      <c r="Q8">
        <f t="shared" si="6"/>
        <v>0.17542743707970002</v>
      </c>
      <c r="R8">
        <f t="shared" si="5"/>
        <v>2.6683962417310843E-3</v>
      </c>
    </row>
    <row r="9" spans="1:18" x14ac:dyDescent="0.35">
      <c r="A9" t="s">
        <v>209</v>
      </c>
      <c r="B9" t="s">
        <v>549</v>
      </c>
      <c r="C9" t="s">
        <v>362</v>
      </c>
      <c r="D9" t="s">
        <v>493</v>
      </c>
      <c r="E9">
        <v>132538717154</v>
      </c>
      <c r="F9">
        <v>145998330659.89999</v>
      </c>
      <c r="G9">
        <v>163111452414.10001</v>
      </c>
      <c r="H9" s="24">
        <v>168182236339.60001</v>
      </c>
      <c r="I9" s="24">
        <v>155972716013.20001</v>
      </c>
      <c r="J9">
        <f t="shared" si="0"/>
        <v>0.1768087043725606</v>
      </c>
      <c r="K9">
        <f t="shared" si="1"/>
        <v>4.1541233813662259E-2</v>
      </c>
      <c r="L9" s="24">
        <f t="shared" si="2"/>
        <v>765803452580.80005</v>
      </c>
      <c r="M9" t="str">
        <f t="shared" si="3"/>
        <v>Slow Climber</v>
      </c>
      <c r="P9" t="str">
        <f t="shared" si="4"/>
        <v>Egypt, Arab Rep.</v>
      </c>
      <c r="Q9">
        <f t="shared" si="6"/>
        <v>0.13253871715400001</v>
      </c>
      <c r="R9">
        <f t="shared" si="5"/>
        <v>0.1768087043725606</v>
      </c>
    </row>
    <row r="10" spans="1:18" x14ac:dyDescent="0.35">
      <c r="A10" t="s">
        <v>227</v>
      </c>
      <c r="B10" t="s">
        <v>472</v>
      </c>
      <c r="C10" t="s">
        <v>362</v>
      </c>
      <c r="D10" t="s">
        <v>493</v>
      </c>
      <c r="E10">
        <v>98504239510.899994</v>
      </c>
      <c r="F10">
        <v>106639207267.5</v>
      </c>
      <c r="G10">
        <v>110775513064.5</v>
      </c>
      <c r="H10" s="24">
        <v>124472460162.5</v>
      </c>
      <c r="I10" s="24">
        <v>137018240525.2</v>
      </c>
      <c r="J10">
        <f t="shared" si="0"/>
        <v>0.39098825802353648</v>
      </c>
      <c r="K10">
        <f t="shared" si="1"/>
        <v>8.6002602457290411E-2</v>
      </c>
      <c r="L10" s="24">
        <f t="shared" si="2"/>
        <v>577409660530.59998</v>
      </c>
      <c r="M10" t="str">
        <f t="shared" si="3"/>
        <v>Spiraler</v>
      </c>
      <c r="P10" t="str">
        <f t="shared" si="4"/>
        <v>Philippines</v>
      </c>
      <c r="Q10">
        <f t="shared" si="6"/>
        <v>9.8504239510899996E-2</v>
      </c>
      <c r="R10">
        <f t="shared" si="5"/>
        <v>0.39098825802353648</v>
      </c>
    </row>
    <row r="11" spans="1:18" x14ac:dyDescent="0.35">
      <c r="A11" t="s">
        <v>243</v>
      </c>
      <c r="B11" t="s">
        <v>559</v>
      </c>
      <c r="C11" t="s">
        <v>362</v>
      </c>
      <c r="D11" t="s">
        <v>493</v>
      </c>
      <c r="E11">
        <v>87591245939.399994</v>
      </c>
      <c r="F11">
        <v>96254706293.5</v>
      </c>
      <c r="G11">
        <v>103064224482.60001</v>
      </c>
      <c r="H11" s="24">
        <v>102472750412.89999</v>
      </c>
      <c r="I11" s="24">
        <v>108757630161.5</v>
      </c>
      <c r="J11">
        <f t="shared" si="0"/>
        <v>0.24164953923299562</v>
      </c>
      <c r="K11">
        <f t="shared" si="1"/>
        <v>5.5600914829231796E-2</v>
      </c>
      <c r="L11" s="24">
        <f t="shared" si="2"/>
        <v>498140557289.90002</v>
      </c>
      <c r="M11" t="str">
        <f t="shared" si="3"/>
        <v>Slow Climber</v>
      </c>
      <c r="P11" t="str">
        <f t="shared" si="4"/>
        <v>Nigeria</v>
      </c>
      <c r="Q11">
        <f t="shared" si="6"/>
        <v>8.75912459394E-2</v>
      </c>
      <c r="R11">
        <f t="shared" si="5"/>
        <v>0.24164953923299562</v>
      </c>
    </row>
    <row r="12" spans="1:18" x14ac:dyDescent="0.35">
      <c r="A12" t="s">
        <v>199</v>
      </c>
      <c r="B12" t="s">
        <v>89</v>
      </c>
      <c r="C12" t="s">
        <v>362</v>
      </c>
      <c r="D12" t="s">
        <v>493</v>
      </c>
      <c r="E12">
        <v>56397276775.800003</v>
      </c>
      <c r="F12">
        <v>58115985989.699997</v>
      </c>
      <c r="G12">
        <v>60682883622.400002</v>
      </c>
      <c r="H12" s="24">
        <v>61658016751.5</v>
      </c>
      <c r="I12" s="24">
        <v>60364730466.400002</v>
      </c>
      <c r="J12">
        <f t="shared" si="0"/>
        <v>7.0348320298728104E-2</v>
      </c>
      <c r="K12">
        <f t="shared" si="1"/>
        <v>1.7141286424932733E-2</v>
      </c>
      <c r="L12" s="24">
        <f t="shared" si="2"/>
        <v>297218893605.79999</v>
      </c>
      <c r="M12" t="str">
        <f t="shared" si="3"/>
        <v>Slow Climber</v>
      </c>
      <c r="P12" t="str">
        <f t="shared" si="4"/>
        <v>Ecuador</v>
      </c>
      <c r="Q12">
        <f t="shared" si="6"/>
        <v>5.6397276775800004E-2</v>
      </c>
      <c r="R12">
        <f t="shared" si="5"/>
        <v>7.0348320298728104E-2</v>
      </c>
    </row>
    <row r="13" spans="1:18" x14ac:dyDescent="0.35">
      <c r="A13" t="s">
        <v>137</v>
      </c>
      <c r="B13" t="s">
        <v>445</v>
      </c>
      <c r="C13" t="s">
        <v>362</v>
      </c>
      <c r="D13" t="s">
        <v>493</v>
      </c>
      <c r="E13">
        <v>40295305085.599998</v>
      </c>
      <c r="F13">
        <v>46584318739.800003</v>
      </c>
      <c r="G13">
        <v>43607006146.099998</v>
      </c>
      <c r="H13" s="24">
        <v>41700706280.400002</v>
      </c>
      <c r="I13" s="24">
        <v>37414621429.699997</v>
      </c>
      <c r="J13">
        <f t="shared" si="0"/>
        <v>-7.1489312459119408E-2</v>
      </c>
      <c r="K13">
        <f t="shared" si="1"/>
        <v>-1.8372476867709486E-2</v>
      </c>
      <c r="L13" s="24">
        <f t="shared" si="2"/>
        <v>209601957681.59998</v>
      </c>
      <c r="M13" t="str">
        <f t="shared" si="3"/>
        <v>Stabilizer</v>
      </c>
      <c r="P13" t="str">
        <f t="shared" si="4"/>
        <v>Ghana</v>
      </c>
      <c r="Q13">
        <f t="shared" si="6"/>
        <v>4.0295305085599996E-2</v>
      </c>
      <c r="R13">
        <f t="shared" si="5"/>
        <v>-7.1489312459119408E-2</v>
      </c>
    </row>
    <row r="14" spans="1:18" x14ac:dyDescent="0.35">
      <c r="A14" t="s">
        <v>603</v>
      </c>
      <c r="B14" t="s">
        <v>569</v>
      </c>
      <c r="C14" t="s">
        <v>362</v>
      </c>
      <c r="D14" t="s">
        <v>493</v>
      </c>
      <c r="E14">
        <v>38038451074.099998</v>
      </c>
      <c r="F14">
        <v>41219100011.5</v>
      </c>
      <c r="G14">
        <v>41556299639.800003</v>
      </c>
      <c r="H14" s="24">
        <v>42910026054.199997</v>
      </c>
      <c r="I14" s="24">
        <v>42886127218.300003</v>
      </c>
      <c r="J14">
        <f t="shared" si="0"/>
        <v>0.12744147059922581</v>
      </c>
      <c r="K14">
        <f t="shared" si="1"/>
        <v>3.0441880119230325E-2</v>
      </c>
      <c r="L14" s="24">
        <f t="shared" si="2"/>
        <v>206610003997.90002</v>
      </c>
      <c r="M14" t="str">
        <f t="shared" si="3"/>
        <v>Slow Climber</v>
      </c>
      <c r="P14" t="str">
        <f t="shared" si="4"/>
        <v>Kenya</v>
      </c>
      <c r="Q14">
        <f t="shared" si="6"/>
        <v>3.8038451074099998E-2</v>
      </c>
      <c r="R14">
        <f t="shared" si="5"/>
        <v>0.12744147059922581</v>
      </c>
    </row>
    <row r="15" spans="1:18" x14ac:dyDescent="0.35">
      <c r="A15" t="s">
        <v>0</v>
      </c>
      <c r="B15" t="s">
        <v>435</v>
      </c>
      <c r="C15" t="s">
        <v>362</v>
      </c>
      <c r="D15" t="s">
        <v>493</v>
      </c>
      <c r="E15">
        <v>26328297576.5</v>
      </c>
      <c r="F15">
        <v>25360186233.299999</v>
      </c>
      <c r="G15">
        <v>22722727263.799999</v>
      </c>
      <c r="H15" s="24">
        <v>20318433379.400002</v>
      </c>
      <c r="I15" s="24">
        <v>17517006333</v>
      </c>
      <c r="J15">
        <f t="shared" si="0"/>
        <v>-0.33466999595768565</v>
      </c>
      <c r="K15">
        <f t="shared" si="1"/>
        <v>-9.6851266468630959E-2</v>
      </c>
      <c r="L15" s="24">
        <f t="shared" si="2"/>
        <v>112246650786</v>
      </c>
      <c r="M15" t="str">
        <f t="shared" si="3"/>
        <v>Stabilizer</v>
      </c>
      <c r="P15" t="str">
        <f t="shared" si="4"/>
        <v>Iraq</v>
      </c>
      <c r="Q15">
        <f t="shared" si="6"/>
        <v>2.6328297576500001E-2</v>
      </c>
      <c r="R15">
        <f t="shared" si="5"/>
        <v>-0.33466999595768565</v>
      </c>
    </row>
    <row r="16" spans="1:18" x14ac:dyDescent="0.35">
      <c r="A16" t="s">
        <v>605</v>
      </c>
      <c r="B16" t="s">
        <v>279</v>
      </c>
      <c r="C16" t="s">
        <v>362</v>
      </c>
      <c r="D16" t="s">
        <v>493</v>
      </c>
      <c r="E16">
        <v>13034165720.299999</v>
      </c>
      <c r="F16">
        <v>14111057739.5</v>
      </c>
      <c r="G16">
        <v>14120782697.4</v>
      </c>
      <c r="H16" s="24">
        <v>14548534104.299999</v>
      </c>
      <c r="I16" s="24">
        <v>14403740329.700001</v>
      </c>
      <c r="J16">
        <f t="shared" si="0"/>
        <v>0.10507574008108275</v>
      </c>
      <c r="K16">
        <f t="shared" si="1"/>
        <v>2.5293044620344762E-2</v>
      </c>
      <c r="L16" s="24">
        <f t="shared" si="2"/>
        <v>70218280591.199997</v>
      </c>
      <c r="M16" t="str">
        <f t="shared" si="3"/>
        <v>Slow Climber</v>
      </c>
      <c r="P16" t="str">
        <f t="shared" si="4"/>
        <v>Zimbabwe</v>
      </c>
      <c r="Q16">
        <f t="shared" si="6"/>
        <v>1.3034165720299999E-2</v>
      </c>
      <c r="R16">
        <f t="shared" si="5"/>
        <v>0.10507574008108275</v>
      </c>
    </row>
    <row r="17" spans="1:18" x14ac:dyDescent="0.35">
      <c r="A17" t="s">
        <v>513</v>
      </c>
      <c r="B17" t="s">
        <v>274</v>
      </c>
      <c r="C17" t="s">
        <v>362</v>
      </c>
      <c r="D17" t="s">
        <v>493</v>
      </c>
      <c r="E17">
        <v>8516297040.3000002</v>
      </c>
      <c r="F17">
        <v>10440535052.1</v>
      </c>
      <c r="G17">
        <v>10927329920.1</v>
      </c>
      <c r="H17" s="24">
        <v>12540297201.5</v>
      </c>
      <c r="I17" s="24">
        <v>14162933686.6</v>
      </c>
      <c r="J17">
        <f t="shared" si="0"/>
        <v>0.66303894986042999</v>
      </c>
      <c r="K17">
        <f t="shared" si="1"/>
        <v>0.13560057884761356</v>
      </c>
      <c r="L17" s="24">
        <f t="shared" si="2"/>
        <v>56587392900.599998</v>
      </c>
      <c r="M17" t="str">
        <f t="shared" si="3"/>
        <v>Spiraler</v>
      </c>
      <c r="P17" t="str">
        <f t="shared" si="4"/>
        <v>Benin</v>
      </c>
      <c r="Q17">
        <f t="shared" si="6"/>
        <v>8.5162970403000002E-3</v>
      </c>
      <c r="R17">
        <f t="shared" si="5"/>
        <v>0.66303894986042999</v>
      </c>
    </row>
    <row r="18" spans="1:18" x14ac:dyDescent="0.35">
      <c r="A18" t="s">
        <v>269</v>
      </c>
      <c r="B18" t="s">
        <v>512</v>
      </c>
      <c r="C18" t="s">
        <v>362</v>
      </c>
      <c r="D18" t="s">
        <v>493</v>
      </c>
      <c r="E18">
        <v>3040072312.4000001</v>
      </c>
      <c r="F18">
        <v>3555784339.5999999</v>
      </c>
      <c r="G18">
        <v>3393247241.6999998</v>
      </c>
      <c r="H18" s="24">
        <v>3428116975.5</v>
      </c>
      <c r="I18" s="24">
        <v>3344095867.0999999</v>
      </c>
      <c r="J18">
        <f t="shared" si="0"/>
        <v>0.10000536943148794</v>
      </c>
      <c r="K18">
        <f t="shared" si="1"/>
        <v>2.4114938834041366E-2</v>
      </c>
      <c r="L18" s="24">
        <f t="shared" si="2"/>
        <v>16761316736.300001</v>
      </c>
      <c r="M18" t="str">
        <f t="shared" si="3"/>
        <v>Slow Climber</v>
      </c>
      <c r="P18" t="str">
        <f t="shared" si="4"/>
        <v>Afghanistan</v>
      </c>
      <c r="Q18">
        <f t="shared" si="6"/>
        <v>3.0400723124E-3</v>
      </c>
      <c r="R18">
        <f t="shared" si="5"/>
        <v>0.10000536943148794</v>
      </c>
    </row>
    <row r="19" spans="1:18" x14ac:dyDescent="0.35">
      <c r="A19" t="s">
        <v>206</v>
      </c>
      <c r="B19" t="s">
        <v>310</v>
      </c>
      <c r="C19" t="s">
        <v>362</v>
      </c>
      <c r="D19" t="s">
        <v>493</v>
      </c>
      <c r="E19">
        <v>2568770933.8000002</v>
      </c>
      <c r="F19">
        <v>3544978710.1999998</v>
      </c>
      <c r="G19">
        <v>3281657367.6999998</v>
      </c>
      <c r="H19" s="24">
        <v>3439839395.5</v>
      </c>
      <c r="I19" s="24">
        <v>4294139883.4000001</v>
      </c>
      <c r="J19">
        <f t="shared" si="0"/>
        <v>0.67167100300673754</v>
      </c>
      <c r="K19">
        <f t="shared" si="1"/>
        <v>0.137071311377303</v>
      </c>
      <c r="L19" s="24">
        <f t="shared" si="2"/>
        <v>17129386290.6</v>
      </c>
      <c r="M19" t="str">
        <f t="shared" si="3"/>
        <v>Spiraler</v>
      </c>
      <c r="P19" t="str">
        <f t="shared" si="4"/>
        <v>Togo</v>
      </c>
      <c r="Q19">
        <f t="shared" si="6"/>
        <v>2.5687709338000002E-3</v>
      </c>
      <c r="R19">
        <f t="shared" si="5"/>
        <v>0.67167100300673754</v>
      </c>
    </row>
    <row r="20" spans="1:18" x14ac:dyDescent="0.35">
      <c r="A20" t="s">
        <v>574</v>
      </c>
      <c r="B20" t="s">
        <v>524</v>
      </c>
      <c r="C20" t="s">
        <v>362</v>
      </c>
      <c r="D20" t="s">
        <v>493</v>
      </c>
      <c r="E20">
        <v>2195562997.5</v>
      </c>
      <c r="F20">
        <v>2531912460.5999999</v>
      </c>
      <c r="G20">
        <v>2401417378.0999999</v>
      </c>
      <c r="H20" s="24">
        <v>2403103683.5</v>
      </c>
      <c r="I20" s="24">
        <v>2329744049.4000001</v>
      </c>
      <c r="J20">
        <f t="shared" si="0"/>
        <v>6.111464442276842E-2</v>
      </c>
      <c r="K20">
        <f t="shared" si="1"/>
        <v>1.4940486458165925E-2</v>
      </c>
      <c r="L20" s="24">
        <f t="shared" si="2"/>
        <v>11861740569.1</v>
      </c>
      <c r="M20" t="str">
        <f t="shared" si="3"/>
        <v>Slow Climber</v>
      </c>
      <c r="P20" t="str">
        <f t="shared" si="4"/>
        <v>Sierra Leone</v>
      </c>
      <c r="Q20">
        <f t="shared" si="6"/>
        <v>2.1955629975E-3</v>
      </c>
      <c r="R20">
        <f t="shared" si="5"/>
        <v>6.111464442276842E-2</v>
      </c>
    </row>
    <row r="21" spans="1:18" x14ac:dyDescent="0.35">
      <c r="A21" t="s">
        <v>121</v>
      </c>
      <c r="B21" t="s">
        <v>313</v>
      </c>
      <c r="C21" t="s">
        <v>362</v>
      </c>
      <c r="D21" t="s">
        <v>493</v>
      </c>
      <c r="E21">
        <v>2047345488.9000001</v>
      </c>
      <c r="F21">
        <v>2498008201.1999998</v>
      </c>
      <c r="G21">
        <v>2988044051.5</v>
      </c>
      <c r="H21" s="24">
        <v>3347681715.8000002</v>
      </c>
      <c r="I21" s="24">
        <v>3868919895.3000002</v>
      </c>
      <c r="J21">
        <f t="shared" si="0"/>
        <v>0.88972497132308503</v>
      </c>
      <c r="K21">
        <f t="shared" si="1"/>
        <v>0.17246436102972562</v>
      </c>
      <c r="L21" s="24">
        <f t="shared" si="2"/>
        <v>14749999352.700001</v>
      </c>
      <c r="M21" t="str">
        <f t="shared" si="3"/>
        <v>Spiraler</v>
      </c>
      <c r="P21" t="str">
        <f t="shared" si="4"/>
        <v>Fiji</v>
      </c>
      <c r="Q21">
        <f t="shared" si="6"/>
        <v>2.0473454889000002E-3</v>
      </c>
      <c r="R21">
        <f t="shared" si="5"/>
        <v>0.88972497132308503</v>
      </c>
    </row>
    <row r="22" spans="1:18" x14ac:dyDescent="0.35">
      <c r="I22" s="24">
        <f>SUM(I2:I21)</f>
        <v>6047288887376.9004</v>
      </c>
      <c r="J22">
        <f>MAX(J2:J21)</f>
        <v>0.88972497132308503</v>
      </c>
      <c r="K22">
        <f>MAX(K2:K21)</f>
        <v>0.17246436102972562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C17A-F807-42AF-BC37-4A3342A23B80}">
  <dimension ref="A1:O115"/>
  <sheetViews>
    <sheetView topLeftCell="F25" workbookViewId="0">
      <selection activeCell="K72" sqref="K72"/>
    </sheetView>
  </sheetViews>
  <sheetFormatPr defaultRowHeight="14.5" x14ac:dyDescent="0.35"/>
  <cols>
    <col min="1" max="1" width="10.6328125" bestFit="1" customWidth="1"/>
    <col min="2" max="2" width="11.81640625" bestFit="1" customWidth="1"/>
    <col min="3" max="3" width="12.453125" bestFit="1" customWidth="1"/>
    <col min="10" max="10" width="12.453125" bestFit="1" customWidth="1"/>
    <col min="11" max="12" width="15.54296875" bestFit="1" customWidth="1"/>
    <col min="13" max="13" width="14.6328125" bestFit="1" customWidth="1"/>
    <col min="14" max="14" width="14.81640625" bestFit="1" customWidth="1"/>
    <col min="15" max="15" width="11.81640625" bestFit="1" customWidth="1"/>
    <col min="16" max="16" width="4.81640625" bestFit="1" customWidth="1"/>
    <col min="17" max="18" width="11.81640625" bestFit="1" customWidth="1"/>
  </cols>
  <sheetData>
    <row r="1" spans="1:2" x14ac:dyDescent="0.35">
      <c r="A1" s="4" t="s">
        <v>615</v>
      </c>
      <c r="B1" s="5"/>
    </row>
    <row r="2" spans="1:2" x14ac:dyDescent="0.35">
      <c r="A2" s="4" t="s">
        <v>587</v>
      </c>
      <c r="B2" s="5" t="s">
        <v>608</v>
      </c>
    </row>
    <row r="3" spans="1:2" x14ac:dyDescent="0.35">
      <c r="A3" s="6" t="s">
        <v>408</v>
      </c>
      <c r="B3" s="19">
        <v>2419835436491.7998</v>
      </c>
    </row>
    <row r="4" spans="1:2" x14ac:dyDescent="0.35">
      <c r="A4" s="7" t="s">
        <v>168</v>
      </c>
      <c r="B4" s="20">
        <v>716456023890.40002</v>
      </c>
    </row>
    <row r="5" spans="1:2" x14ac:dyDescent="0.35">
      <c r="A5" s="7" t="s">
        <v>485</v>
      </c>
      <c r="B5" s="20">
        <v>605463780812.80005</v>
      </c>
    </row>
    <row r="6" spans="1:2" x14ac:dyDescent="0.35">
      <c r="A6" s="7" t="s">
        <v>194</v>
      </c>
      <c r="B6" s="20">
        <v>591255026725</v>
      </c>
    </row>
    <row r="7" spans="1:2" x14ac:dyDescent="0.35">
      <c r="A7" s="7" t="s">
        <v>97</v>
      </c>
      <c r="B7" s="20">
        <v>514989218110.79999</v>
      </c>
    </row>
    <row r="8" spans="1:2" x14ac:dyDescent="0.35">
      <c r="A8" s="7" t="s">
        <v>379</v>
      </c>
      <c r="B8" s="20">
        <v>421059208493.79999</v>
      </c>
    </row>
    <row r="9" spans="1:2" x14ac:dyDescent="0.35">
      <c r="A9" s="7" t="s">
        <v>396</v>
      </c>
      <c r="B9" s="20">
        <v>175895546993.5</v>
      </c>
    </row>
    <row r="10" spans="1:2" x14ac:dyDescent="0.35">
      <c r="A10" s="7" t="s">
        <v>209</v>
      </c>
      <c r="B10" s="20">
        <v>155972716013.20001</v>
      </c>
    </row>
    <row r="11" spans="1:2" x14ac:dyDescent="0.35">
      <c r="A11" s="7" t="s">
        <v>227</v>
      </c>
      <c r="B11" s="20">
        <v>137018240525.2</v>
      </c>
    </row>
    <row r="12" spans="1:2" x14ac:dyDescent="0.35">
      <c r="A12" s="7" t="s">
        <v>243</v>
      </c>
      <c r="B12" s="20">
        <v>108757630161.5</v>
      </c>
    </row>
    <row r="13" spans="1:2" x14ac:dyDescent="0.35">
      <c r="A13" s="8" t="s">
        <v>607</v>
      </c>
      <c r="B13" s="17">
        <v>5846702828218</v>
      </c>
    </row>
    <row r="30" spans="1:15" x14ac:dyDescent="0.35">
      <c r="A30" s="4" t="s">
        <v>612</v>
      </c>
      <c r="B30" s="5"/>
      <c r="M30" s="6"/>
      <c r="N30" s="4" t="s">
        <v>614</v>
      </c>
      <c r="O30" s="9"/>
    </row>
    <row r="31" spans="1:15" x14ac:dyDescent="0.35">
      <c r="A31" s="4" t="s">
        <v>587</v>
      </c>
      <c r="B31" s="5" t="s">
        <v>608</v>
      </c>
      <c r="M31" s="4" t="s">
        <v>587</v>
      </c>
      <c r="N31" s="6" t="s">
        <v>612</v>
      </c>
      <c r="O31" s="10" t="s">
        <v>615</v>
      </c>
    </row>
    <row r="32" spans="1:15" x14ac:dyDescent="0.35">
      <c r="A32" s="6" t="s">
        <v>121</v>
      </c>
      <c r="B32" s="13">
        <v>0.88972497132308503</v>
      </c>
      <c r="M32" s="6" t="s">
        <v>269</v>
      </c>
      <c r="N32" s="11">
        <v>0.10000536943148794</v>
      </c>
      <c r="O32" s="21">
        <v>3344095867.0999999</v>
      </c>
    </row>
    <row r="33" spans="1:15" x14ac:dyDescent="0.35">
      <c r="A33" s="7" t="s">
        <v>206</v>
      </c>
      <c r="B33" s="16">
        <v>0.67167100300673754</v>
      </c>
      <c r="M33" s="7" t="s">
        <v>513</v>
      </c>
      <c r="N33" s="15">
        <v>0.66303894986042999</v>
      </c>
      <c r="O33" s="23">
        <v>14162933686.6</v>
      </c>
    </row>
    <row r="34" spans="1:15" x14ac:dyDescent="0.35">
      <c r="A34" s="7" t="s">
        <v>513</v>
      </c>
      <c r="B34" s="16">
        <v>0.66303894986042999</v>
      </c>
      <c r="M34" s="7" t="s">
        <v>485</v>
      </c>
      <c r="N34" s="15">
        <v>0.10218788546083828</v>
      </c>
      <c r="O34" s="23">
        <v>605463780812.80005</v>
      </c>
    </row>
    <row r="35" spans="1:15" x14ac:dyDescent="0.35">
      <c r="A35" s="7" t="s">
        <v>227</v>
      </c>
      <c r="B35" s="16">
        <v>0.39098825802353648</v>
      </c>
      <c r="M35" s="7" t="s">
        <v>408</v>
      </c>
      <c r="N35" s="15">
        <v>4.0237980082643274E-2</v>
      </c>
      <c r="O35" s="23">
        <v>2419835436491.7998</v>
      </c>
    </row>
    <row r="36" spans="1:15" x14ac:dyDescent="0.35">
      <c r="A36" s="7" t="s">
        <v>168</v>
      </c>
      <c r="B36" s="16">
        <v>0.2681101715328405</v>
      </c>
      <c r="M36" s="7" t="s">
        <v>199</v>
      </c>
      <c r="N36" s="15">
        <v>7.0348320298728104E-2</v>
      </c>
      <c r="O36" s="23">
        <v>60364730466.400002</v>
      </c>
    </row>
    <row r="37" spans="1:15" x14ac:dyDescent="0.35">
      <c r="A37" s="7" t="s">
        <v>243</v>
      </c>
      <c r="B37" s="16">
        <v>0.24164953923299562</v>
      </c>
      <c r="M37" s="7" t="s">
        <v>209</v>
      </c>
      <c r="N37" s="15">
        <v>0.1768087043725606</v>
      </c>
      <c r="O37" s="23">
        <v>155972716013.20001</v>
      </c>
    </row>
    <row r="38" spans="1:15" x14ac:dyDescent="0.35">
      <c r="A38" s="7" t="s">
        <v>97</v>
      </c>
      <c r="B38" s="16">
        <v>0.19964884531409541</v>
      </c>
      <c r="M38" s="7" t="s">
        <v>121</v>
      </c>
      <c r="N38" s="15">
        <v>0.88972497132308503</v>
      </c>
      <c r="O38" s="23">
        <v>3868919895.3000002</v>
      </c>
    </row>
    <row r="39" spans="1:15" x14ac:dyDescent="0.35">
      <c r="A39" s="7" t="s">
        <v>209</v>
      </c>
      <c r="B39" s="16">
        <v>0.1768087043725606</v>
      </c>
      <c r="M39" s="7" t="s">
        <v>137</v>
      </c>
      <c r="N39" s="15">
        <v>-7.1489312459119408E-2</v>
      </c>
      <c r="O39" s="23">
        <v>37414621429.699997</v>
      </c>
    </row>
    <row r="40" spans="1:15" x14ac:dyDescent="0.35">
      <c r="A40" s="7" t="s">
        <v>603</v>
      </c>
      <c r="B40" s="16">
        <v>0.12744147059922581</v>
      </c>
      <c r="M40" s="7" t="s">
        <v>168</v>
      </c>
      <c r="N40" s="15">
        <v>0.2681101715328405</v>
      </c>
      <c r="O40" s="23">
        <v>716456023890.40002</v>
      </c>
    </row>
    <row r="41" spans="1:15" x14ac:dyDescent="0.35">
      <c r="A41" s="7" t="s">
        <v>605</v>
      </c>
      <c r="B41" s="16">
        <v>0.10507574008108275</v>
      </c>
      <c r="M41" s="7" t="s">
        <v>379</v>
      </c>
      <c r="N41" s="15">
        <v>9.646163762721283E-3</v>
      </c>
      <c r="O41" s="23">
        <v>421059208493.79999</v>
      </c>
    </row>
    <row r="42" spans="1:15" x14ac:dyDescent="0.35">
      <c r="A42" s="8" t="s">
        <v>607</v>
      </c>
      <c r="B42" s="14">
        <v>3.7341576533465899</v>
      </c>
      <c r="M42" s="7" t="s">
        <v>0</v>
      </c>
      <c r="N42" s="15">
        <v>-0.33466999595768565</v>
      </c>
      <c r="O42" s="23">
        <v>17517006333</v>
      </c>
    </row>
    <row r="43" spans="1:15" x14ac:dyDescent="0.35">
      <c r="M43" s="7" t="s">
        <v>603</v>
      </c>
      <c r="N43" s="15">
        <v>0.12744147059922581</v>
      </c>
      <c r="O43" s="23">
        <v>42886127218.300003</v>
      </c>
    </row>
    <row r="44" spans="1:15" x14ac:dyDescent="0.35">
      <c r="M44" s="7" t="s">
        <v>194</v>
      </c>
      <c r="N44" s="15">
        <v>-4.1238720869359598E-2</v>
      </c>
      <c r="O44" s="23">
        <v>591255026725</v>
      </c>
    </row>
    <row r="45" spans="1:15" x14ac:dyDescent="0.35">
      <c r="M45" s="7" t="s">
        <v>243</v>
      </c>
      <c r="N45" s="15">
        <v>0.24164953923299562</v>
      </c>
      <c r="O45" s="23">
        <v>108757630161.5</v>
      </c>
    </row>
    <row r="46" spans="1:15" x14ac:dyDescent="0.35">
      <c r="M46" s="7" t="s">
        <v>227</v>
      </c>
      <c r="N46" s="15">
        <v>0.39098825802353648</v>
      </c>
      <c r="O46" s="23">
        <v>137018240525.2</v>
      </c>
    </row>
    <row r="47" spans="1:15" x14ac:dyDescent="0.35">
      <c r="M47" s="7" t="s">
        <v>574</v>
      </c>
      <c r="N47" s="15">
        <v>6.111464442276842E-2</v>
      </c>
      <c r="O47" s="23">
        <v>2329744049.4000001</v>
      </c>
    </row>
    <row r="48" spans="1:15" x14ac:dyDescent="0.35">
      <c r="M48" s="7" t="s">
        <v>396</v>
      </c>
      <c r="N48" s="15">
        <v>2.6683962417310843E-3</v>
      </c>
      <c r="O48" s="23">
        <v>175895546993.5</v>
      </c>
    </row>
    <row r="49" spans="1:15" x14ac:dyDescent="0.35">
      <c r="M49" s="7" t="s">
        <v>206</v>
      </c>
      <c r="N49" s="15">
        <v>0.67167100300673754</v>
      </c>
      <c r="O49" s="23">
        <v>4294139883.4000001</v>
      </c>
    </row>
    <row r="50" spans="1:15" x14ac:dyDescent="0.35">
      <c r="A50" s="4" t="s">
        <v>615</v>
      </c>
      <c r="B50" s="5" t="s">
        <v>608</v>
      </c>
      <c r="M50" s="7" t="s">
        <v>97</v>
      </c>
      <c r="N50" s="15">
        <v>0.19964884531409541</v>
      </c>
      <c r="O50" s="23">
        <v>514989218110.79999</v>
      </c>
    </row>
    <row r="51" spans="1:15" x14ac:dyDescent="0.35">
      <c r="A51" s="8" t="s">
        <v>608</v>
      </c>
      <c r="B51" s="17">
        <v>6047288887376.9004</v>
      </c>
      <c r="M51" s="7" t="s">
        <v>605</v>
      </c>
      <c r="N51" s="15">
        <v>0.10507574008108275</v>
      </c>
      <c r="O51" s="23">
        <v>14403740329.700001</v>
      </c>
    </row>
    <row r="52" spans="1:15" x14ac:dyDescent="0.35">
      <c r="M52" s="8" t="s">
        <v>607</v>
      </c>
      <c r="N52" s="12">
        <v>3.6729683837613436</v>
      </c>
      <c r="O52" s="22">
        <v>6047288887376.9004</v>
      </c>
    </row>
    <row r="53" spans="1:15" x14ac:dyDescent="0.35">
      <c r="J53" s="1" t="s">
        <v>623</v>
      </c>
      <c r="K53" t="s">
        <v>618</v>
      </c>
    </row>
    <row r="54" spans="1:15" x14ac:dyDescent="0.35">
      <c r="J54" s="2">
        <v>2020</v>
      </c>
      <c r="K54" s="18">
        <v>5590070148480.4004</v>
      </c>
    </row>
    <row r="55" spans="1:15" x14ac:dyDescent="0.35">
      <c r="J55" s="2">
        <v>2021</v>
      </c>
      <c r="K55" s="18">
        <v>6088025823934.2988</v>
      </c>
    </row>
    <row r="56" spans="1:15" x14ac:dyDescent="0.35">
      <c r="J56" s="2">
        <v>2022</v>
      </c>
      <c r="K56" s="18">
        <v>5917450021033.5996</v>
      </c>
    </row>
    <row r="57" spans="1:15" x14ac:dyDescent="0.35">
      <c r="J57" s="2">
        <v>2023</v>
      </c>
      <c r="K57" s="18">
        <v>5965151508434.0996</v>
      </c>
    </row>
    <row r="58" spans="1:15" x14ac:dyDescent="0.35">
      <c r="J58" s="2">
        <v>2024</v>
      </c>
      <c r="K58" s="18">
        <v>6047288887376.9004</v>
      </c>
    </row>
    <row r="59" spans="1:15" x14ac:dyDescent="0.35">
      <c r="J59" s="2" t="s">
        <v>607</v>
      </c>
      <c r="K59" s="18">
        <v>29607986389259.297</v>
      </c>
    </row>
    <row r="109" spans="1:2" x14ac:dyDescent="0.35">
      <c r="A109" s="1" t="s">
        <v>623</v>
      </c>
      <c r="B109" t="s">
        <v>618</v>
      </c>
    </row>
    <row r="110" spans="1:2" x14ac:dyDescent="0.35">
      <c r="A110" s="2">
        <v>2020</v>
      </c>
      <c r="B110" s="18">
        <v>5590070148480.4004</v>
      </c>
    </row>
    <row r="111" spans="1:2" x14ac:dyDescent="0.35">
      <c r="A111" s="2">
        <v>2021</v>
      </c>
      <c r="B111" s="18">
        <v>6088025823934.2988</v>
      </c>
    </row>
    <row r="112" spans="1:2" x14ac:dyDescent="0.35">
      <c r="A112" s="2">
        <v>2022</v>
      </c>
      <c r="B112" s="18">
        <v>5917450021033.5996</v>
      </c>
    </row>
    <row r="113" spans="1:2" x14ac:dyDescent="0.35">
      <c r="A113" s="2">
        <v>2023</v>
      </c>
      <c r="B113" s="18">
        <v>5965151508434.0996</v>
      </c>
    </row>
    <row r="114" spans="1:2" x14ac:dyDescent="0.35">
      <c r="A114" s="2">
        <v>2024</v>
      </c>
      <c r="B114" s="18">
        <v>6047288887376.9004</v>
      </c>
    </row>
    <row r="115" spans="1:2" x14ac:dyDescent="0.35">
      <c r="A115" s="2" t="s">
        <v>607</v>
      </c>
      <c r="B115" s="18">
        <v>29607986389259.297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62EAC-3EE4-4747-8310-74F2ECC53E8A}">
  <sheetPr>
    <pageSetUpPr autoPageBreaks="0"/>
  </sheetPr>
  <dimension ref="C45"/>
  <sheetViews>
    <sheetView showGridLines="0" tabSelected="1" topLeftCell="A16" zoomScale="30" zoomScaleNormal="30" zoomScaleSheetLayoutView="30" workbookViewId="0">
      <selection activeCell="L66" sqref="L66"/>
    </sheetView>
  </sheetViews>
  <sheetFormatPr defaultRowHeight="14.5" x14ac:dyDescent="0.35"/>
  <cols>
    <col min="1" max="1" width="9.36328125" style="3" customWidth="1"/>
    <col min="2" max="16384" width="8.7265625" style="3"/>
  </cols>
  <sheetData>
    <row r="45" spans="3:3" x14ac:dyDescent="0.35">
      <c r="C45" s="3" t="s">
        <v>622</v>
      </c>
    </row>
  </sheetData>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FF64F-D527-4864-9A4C-8D8BDC5E70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Anumaka</dc:creator>
  <cp:lastModifiedBy>Vivian Anumaka</cp:lastModifiedBy>
  <dcterms:created xsi:type="dcterms:W3CDTF">2026-06-03T21:25:18Z</dcterms:created>
  <dcterms:modified xsi:type="dcterms:W3CDTF">2026-06-15T16:56:16Z</dcterms:modified>
</cp:coreProperties>
</file>